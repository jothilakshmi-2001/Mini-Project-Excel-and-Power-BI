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thi\OneDrive\Desktop\"/>
    </mc:Choice>
  </mc:AlternateContent>
  <xr:revisionPtr revIDLastSave="0" documentId="13_ncr:1_{3D7C39B5-1804-46FF-935A-2C530610538F}" xr6:coauthVersionLast="47" xr6:coauthVersionMax="47" xr10:uidLastSave="{00000000-0000-0000-0000-000000000000}"/>
  <bookViews>
    <workbookView xWindow="-108" yWindow="-108" windowWidth="23256" windowHeight="12456" xr2:uid="{127CF222-1ECD-4678-A0D0-1FE91F139C19}"/>
  </bookViews>
  <sheets>
    <sheet name="retail_store_performance_dashbo" sheetId="2" r:id="rId1"/>
    <sheet name="Descriptive Summary" sheetId="4" r:id="rId2"/>
    <sheet name="Pivot Table" sheetId="1" r:id="rId3"/>
  </sheets>
  <definedNames>
    <definedName name="_xlnm._FilterDatabase" localSheetId="0" hidden="1">retail_store_performance_dashbo!$A$1:$V$501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2" l="1" a="1"/>
  <c r="R2" i="2" s="1"/>
  <c r="V3" i="2" l="1" a="1"/>
  <c r="V3" i="2" s="1"/>
  <c r="V4" i="2" a="1"/>
  <c r="V4" i="2"/>
  <c r="V5" i="2" a="1"/>
  <c r="V5" i="2"/>
  <c r="V6" i="2" a="1"/>
  <c r="V6" i="2"/>
  <c r="V7" i="2" a="1"/>
  <c r="V7" i="2" s="1"/>
  <c r="V8" i="2" a="1"/>
  <c r="V8" i="2"/>
  <c r="V9" i="2" a="1"/>
  <c r="V9" i="2"/>
  <c r="V10" i="2" a="1"/>
  <c r="V10" i="2"/>
  <c r="V11" i="2" a="1"/>
  <c r="V11" i="2" s="1"/>
  <c r="V12" i="2" a="1"/>
  <c r="V12" i="2"/>
  <c r="V13" i="2" a="1"/>
  <c r="V13" i="2" s="1"/>
  <c r="V14" i="2" a="1"/>
  <c r="V14" i="2"/>
  <c r="V15" i="2" a="1"/>
  <c r="V15" i="2" s="1"/>
  <c r="V16" i="2" a="1"/>
  <c r="V16" i="2"/>
  <c r="V17" i="2" a="1"/>
  <c r="V17" i="2"/>
  <c r="V18" i="2" a="1"/>
  <c r="V18" i="2"/>
  <c r="V19" i="2" a="1"/>
  <c r="V19" i="2" s="1"/>
  <c r="V20" i="2" a="1"/>
  <c r="V20" i="2"/>
  <c r="V21" i="2" a="1"/>
  <c r="V21" i="2" s="1"/>
  <c r="V22" i="2" a="1"/>
  <c r="V22" i="2" s="1"/>
  <c r="V23" i="2" a="1"/>
  <c r="V23" i="2" s="1"/>
  <c r="V24" i="2" a="1"/>
  <c r="V24" i="2"/>
  <c r="V25" i="2" a="1"/>
  <c r="V25" i="2"/>
  <c r="V26" i="2" a="1"/>
  <c r="V26" i="2"/>
  <c r="V27" i="2" a="1"/>
  <c r="V27" i="2" s="1"/>
  <c r="V28" i="2" a="1"/>
  <c r="V28" i="2"/>
  <c r="V29" i="2" a="1"/>
  <c r="V29" i="2"/>
  <c r="V30" i="2" a="1"/>
  <c r="V30" i="2" s="1"/>
  <c r="V31" i="2" a="1"/>
  <c r="V31" i="2" s="1"/>
  <c r="V32" i="2" a="1"/>
  <c r="V32" i="2"/>
  <c r="V33" i="2" a="1"/>
  <c r="V33" i="2"/>
  <c r="V34" i="2" a="1"/>
  <c r="V34" i="2"/>
  <c r="V35" i="2" a="1"/>
  <c r="V35" i="2" s="1"/>
  <c r="V36" i="2" a="1"/>
  <c r="V36" i="2"/>
  <c r="V37" i="2" a="1"/>
  <c r="V37" i="2"/>
  <c r="V38" i="2" a="1"/>
  <c r="V38" i="2"/>
  <c r="V39" i="2" a="1"/>
  <c r="V39" i="2" s="1"/>
  <c r="V40" i="2" a="1"/>
  <c r="V40" i="2"/>
  <c r="V41" i="2" a="1"/>
  <c r="V41" i="2"/>
  <c r="V42" i="2" a="1"/>
  <c r="V42" i="2"/>
  <c r="V43" i="2" a="1"/>
  <c r="V43" i="2" s="1"/>
  <c r="V44" i="2" a="1"/>
  <c r="V44" i="2"/>
  <c r="V45" i="2" a="1"/>
  <c r="V45" i="2" s="1"/>
  <c r="V46" i="2" a="1"/>
  <c r="V46" i="2"/>
  <c r="V47" i="2" a="1"/>
  <c r="V47" i="2" s="1"/>
  <c r="V48" i="2" a="1"/>
  <c r="V48" i="2"/>
  <c r="V49" i="2" a="1"/>
  <c r="V49" i="2"/>
  <c r="V50" i="2" a="1"/>
  <c r="V50" i="2"/>
  <c r="V51" i="2" a="1"/>
  <c r="V51" i="2" s="1"/>
  <c r="V52" i="2" a="1"/>
  <c r="V52" i="2"/>
  <c r="V53" i="2" a="1"/>
  <c r="V53" i="2" s="1"/>
  <c r="V54" i="2" a="1"/>
  <c r="V54" i="2" s="1"/>
  <c r="V55" i="2" a="1"/>
  <c r="V55" i="2" s="1"/>
  <c r="V56" i="2" a="1"/>
  <c r="V56" i="2"/>
  <c r="V57" i="2" a="1"/>
  <c r="V57" i="2"/>
  <c r="V58" i="2" a="1"/>
  <c r="V58" i="2"/>
  <c r="V59" i="2" a="1"/>
  <c r="V59" i="2" s="1"/>
  <c r="V60" i="2" a="1"/>
  <c r="V60" i="2"/>
  <c r="V61" i="2" a="1"/>
  <c r="V61" i="2"/>
  <c r="V62" i="2" a="1"/>
  <c r="V62" i="2" s="1"/>
  <c r="V63" i="2" a="1"/>
  <c r="V63" i="2" s="1"/>
  <c r="V64" i="2" a="1"/>
  <c r="V64" i="2"/>
  <c r="V65" i="2" a="1"/>
  <c r="V65" i="2"/>
  <c r="V66" i="2" a="1"/>
  <c r="V66" i="2"/>
  <c r="V67" i="2" a="1"/>
  <c r="V67" i="2" s="1"/>
  <c r="V68" i="2" a="1"/>
  <c r="V68" i="2"/>
  <c r="V69" i="2" a="1"/>
  <c r="V69" i="2"/>
  <c r="V70" i="2" a="1"/>
  <c r="V70" i="2"/>
  <c r="V71" i="2" a="1"/>
  <c r="V71" i="2" s="1"/>
  <c r="V72" i="2" a="1"/>
  <c r="V72" i="2"/>
  <c r="V73" i="2" a="1"/>
  <c r="V73" i="2"/>
  <c r="V74" i="2" a="1"/>
  <c r="V74" i="2"/>
  <c r="V75" i="2" a="1"/>
  <c r="V75" i="2" s="1"/>
  <c r="V76" i="2" a="1"/>
  <c r="V76" i="2"/>
  <c r="V77" i="2" a="1"/>
  <c r="V77" i="2" s="1"/>
  <c r="V78" i="2" a="1"/>
  <c r="V78" i="2"/>
  <c r="V79" i="2" a="1"/>
  <c r="V79" i="2" s="1"/>
  <c r="V80" i="2" a="1"/>
  <c r="V80" i="2"/>
  <c r="V81" i="2" a="1"/>
  <c r="V81" i="2"/>
  <c r="V82" i="2" a="1"/>
  <c r="V82" i="2"/>
  <c r="V83" i="2" a="1"/>
  <c r="V83" i="2" s="1"/>
  <c r="V84" i="2" a="1"/>
  <c r="V84" i="2"/>
  <c r="V85" i="2" a="1"/>
  <c r="V85" i="2" s="1"/>
  <c r="V86" i="2" a="1"/>
  <c r="V86" i="2"/>
  <c r="V87" i="2" a="1"/>
  <c r="V87" i="2" s="1"/>
  <c r="V88" i="2" a="1"/>
  <c r="V88" i="2"/>
  <c r="V89" i="2" a="1"/>
  <c r="V89" i="2"/>
  <c r="V90" i="2" a="1"/>
  <c r="V90" i="2"/>
  <c r="V91" i="2" a="1"/>
  <c r="V91" i="2" s="1"/>
  <c r="V92" i="2" a="1"/>
  <c r="V92" i="2"/>
  <c r="V93" i="2" a="1"/>
  <c r="V93" i="2"/>
  <c r="V94" i="2" a="1"/>
  <c r="V94" i="2" s="1"/>
  <c r="V95" i="2" a="1"/>
  <c r="V95" i="2" s="1"/>
  <c r="V96" i="2" a="1"/>
  <c r="V96" i="2"/>
  <c r="V97" i="2" a="1"/>
  <c r="V97" i="2"/>
  <c r="V98" i="2" a="1"/>
  <c r="V98" i="2"/>
  <c r="V99" i="2" a="1"/>
  <c r="V99" i="2" s="1"/>
  <c r="V100" i="2" a="1"/>
  <c r="V100" i="2"/>
  <c r="V101" i="2" a="1"/>
  <c r="V101" i="2"/>
  <c r="V102" i="2" a="1"/>
  <c r="V102" i="2"/>
  <c r="V103" i="2" a="1"/>
  <c r="V103" i="2" s="1"/>
  <c r="V104" i="2" a="1"/>
  <c r="V104" i="2"/>
  <c r="V105" i="2" a="1"/>
  <c r="V105" i="2"/>
  <c r="V106" i="2" a="1"/>
  <c r="V106" i="2"/>
  <c r="V107" i="2" a="1"/>
  <c r="V107" i="2" s="1"/>
  <c r="V108" i="2" a="1"/>
  <c r="V108" i="2"/>
  <c r="V109" i="2" a="1"/>
  <c r="V109" i="2" s="1"/>
  <c r="V110" i="2" a="1"/>
  <c r="V110" i="2"/>
  <c r="V111" i="2" a="1"/>
  <c r="V111" i="2" s="1"/>
  <c r="V112" i="2" a="1"/>
  <c r="V112" i="2"/>
  <c r="V113" i="2" a="1"/>
  <c r="V113" i="2"/>
  <c r="V114" i="2" a="1"/>
  <c r="V114" i="2"/>
  <c r="V115" i="2" a="1"/>
  <c r="V115" i="2" s="1"/>
  <c r="V116" i="2" a="1"/>
  <c r="V116" i="2"/>
  <c r="V117" i="2" a="1"/>
  <c r="V117" i="2" s="1"/>
  <c r="V118" i="2" a="1"/>
  <c r="V118" i="2"/>
  <c r="V119" i="2" a="1"/>
  <c r="V119" i="2" s="1"/>
  <c r="V120" i="2" a="1"/>
  <c r="V120" i="2"/>
  <c r="V121" i="2" a="1"/>
  <c r="V121" i="2"/>
  <c r="V122" i="2" a="1"/>
  <c r="V122" i="2"/>
  <c r="V123" i="2" a="1"/>
  <c r="V123" i="2" s="1"/>
  <c r="V124" i="2" a="1"/>
  <c r="V124" i="2"/>
  <c r="V125" i="2" a="1"/>
  <c r="V125" i="2"/>
  <c r="V126" i="2" a="1"/>
  <c r="V126" i="2" s="1"/>
  <c r="V127" i="2" a="1"/>
  <c r="V127" i="2" s="1"/>
  <c r="V128" i="2" a="1"/>
  <c r="V128" i="2"/>
  <c r="V129" i="2" a="1"/>
  <c r="V129" i="2"/>
  <c r="V130" i="2" a="1"/>
  <c r="V130" i="2"/>
  <c r="V131" i="2" a="1"/>
  <c r="V131" i="2" s="1"/>
  <c r="V132" i="2" a="1"/>
  <c r="V132" i="2"/>
  <c r="V133" i="2" a="1"/>
  <c r="V133" i="2"/>
  <c r="V134" i="2" a="1"/>
  <c r="V134" i="2"/>
  <c r="V135" i="2" a="1"/>
  <c r="V135" i="2" s="1"/>
  <c r="V136" i="2" a="1"/>
  <c r="V136" i="2"/>
  <c r="V137" i="2" a="1"/>
  <c r="V137" i="2"/>
  <c r="V138" i="2" a="1"/>
  <c r="V138" i="2"/>
  <c r="V139" i="2" a="1"/>
  <c r="V139" i="2" s="1"/>
  <c r="V140" i="2" a="1"/>
  <c r="V140" i="2"/>
  <c r="V141" i="2" a="1"/>
  <c r="V141" i="2" s="1"/>
  <c r="V142" i="2" a="1"/>
  <c r="V142" i="2"/>
  <c r="V143" i="2" a="1"/>
  <c r="V143" i="2" s="1"/>
  <c r="V144" i="2" a="1"/>
  <c r="V144" i="2"/>
  <c r="V145" i="2" a="1"/>
  <c r="V145" i="2"/>
  <c r="V146" i="2" a="1"/>
  <c r="V146" i="2"/>
  <c r="V147" i="2" a="1"/>
  <c r="V147" i="2" s="1"/>
  <c r="V148" i="2" a="1"/>
  <c r="V148" i="2"/>
  <c r="V149" i="2" a="1"/>
  <c r="V149" i="2" s="1"/>
  <c r="V150" i="2" a="1"/>
  <c r="V150" i="2"/>
  <c r="V151" i="2" a="1"/>
  <c r="V151" i="2" s="1"/>
  <c r="V152" i="2" a="1"/>
  <c r="V152" i="2"/>
  <c r="V153" i="2" a="1"/>
  <c r="V153" i="2"/>
  <c r="V154" i="2" a="1"/>
  <c r="V154" i="2"/>
  <c r="V155" i="2" a="1"/>
  <c r="V155" i="2" s="1"/>
  <c r="V156" i="2" a="1"/>
  <c r="V156" i="2"/>
  <c r="V157" i="2" a="1"/>
  <c r="V157" i="2"/>
  <c r="V158" i="2" a="1"/>
  <c r="V158" i="2" s="1"/>
  <c r="V159" i="2" a="1"/>
  <c r="V159" i="2" s="1"/>
  <c r="V160" i="2" a="1"/>
  <c r="V160" i="2"/>
  <c r="V161" i="2" a="1"/>
  <c r="V161" i="2"/>
  <c r="V162" i="2" a="1"/>
  <c r="V162" i="2"/>
  <c r="V163" i="2" a="1"/>
  <c r="V163" i="2" s="1"/>
  <c r="V164" i="2" a="1"/>
  <c r="V164" i="2" s="1"/>
  <c r="V165" i="2" a="1"/>
  <c r="V165" i="2"/>
  <c r="V166" i="2" a="1"/>
  <c r="V166" i="2"/>
  <c r="V167" i="2" a="1"/>
  <c r="V167" i="2" s="1"/>
  <c r="V168" i="2" a="1"/>
  <c r="V168" i="2"/>
  <c r="V169" i="2" a="1"/>
  <c r="V169" i="2"/>
  <c r="V170" i="2" a="1"/>
  <c r="V170" i="2"/>
  <c r="V171" i="2" a="1"/>
  <c r="V171" i="2" s="1"/>
  <c r="V172" i="2" a="1"/>
  <c r="V172" i="2" s="1"/>
  <c r="V173" i="2" a="1"/>
  <c r="V173" i="2" s="1"/>
  <c r="V174" i="2" a="1"/>
  <c r="V174" i="2"/>
  <c r="V175" i="2" a="1"/>
  <c r="V175" i="2" s="1"/>
  <c r="V176" i="2" a="1"/>
  <c r="V176" i="2"/>
  <c r="V177" i="2" a="1"/>
  <c r="V177" i="2"/>
  <c r="V178" i="2" a="1"/>
  <c r="V178" i="2"/>
  <c r="V179" i="2" a="1"/>
  <c r="V179" i="2" s="1"/>
  <c r="V180" i="2" a="1"/>
  <c r="V180" i="2"/>
  <c r="V181" i="2" a="1"/>
  <c r="V181" i="2" s="1"/>
  <c r="V182" i="2" a="1"/>
  <c r="V182" i="2" s="1"/>
  <c r="V183" i="2" a="1"/>
  <c r="V183" i="2" s="1"/>
  <c r="V184" i="2" a="1"/>
  <c r="V184" i="2"/>
  <c r="V185" i="2" a="1"/>
  <c r="V185" i="2"/>
  <c r="V186" i="2" a="1"/>
  <c r="V186" i="2"/>
  <c r="V187" i="2" a="1"/>
  <c r="V187" i="2" s="1"/>
  <c r="V188" i="2" a="1"/>
  <c r="V188" i="2"/>
  <c r="V189" i="2" a="1"/>
  <c r="V189" i="2"/>
  <c r="V190" i="2" a="1"/>
  <c r="V190" i="2" s="1"/>
  <c r="V191" i="2" a="1"/>
  <c r="V191" i="2" s="1"/>
  <c r="V192" i="2" a="1"/>
  <c r="V192" i="2"/>
  <c r="V193" i="2" a="1"/>
  <c r="V193" i="2"/>
  <c r="V194" i="2" a="1"/>
  <c r="V194" i="2"/>
  <c r="V195" i="2" a="1"/>
  <c r="V195" i="2" s="1"/>
  <c r="V196" i="2" a="1"/>
  <c r="V196" i="2" s="1"/>
  <c r="V197" i="2" a="1"/>
  <c r="V197" i="2"/>
  <c r="V198" i="2" a="1"/>
  <c r="V198" i="2"/>
  <c r="V199" i="2" a="1"/>
  <c r="V199" i="2" s="1"/>
  <c r="V200" i="2" a="1"/>
  <c r="V200" i="2"/>
  <c r="V201" i="2" a="1"/>
  <c r="V201" i="2"/>
  <c r="V202" i="2" a="1"/>
  <c r="V202" i="2"/>
  <c r="V203" i="2" a="1"/>
  <c r="V203" i="2" s="1"/>
  <c r="V204" i="2" a="1"/>
  <c r="V204" i="2" s="1"/>
  <c r="V205" i="2" a="1"/>
  <c r="V205" i="2" s="1"/>
  <c r="V206" i="2" a="1"/>
  <c r="V206" i="2"/>
  <c r="V207" i="2" a="1"/>
  <c r="V207" i="2" s="1"/>
  <c r="V208" i="2" a="1"/>
  <c r="V208" i="2"/>
  <c r="V209" i="2" a="1"/>
  <c r="V209" i="2"/>
  <c r="V210" i="2" a="1"/>
  <c r="V210" i="2"/>
  <c r="V211" i="2" a="1"/>
  <c r="V211" i="2" s="1"/>
  <c r="V212" i="2" a="1"/>
  <c r="V212" i="2"/>
  <c r="V213" i="2" a="1"/>
  <c r="V213" i="2" s="1"/>
  <c r="V214" i="2" a="1"/>
  <c r="V214" i="2" s="1"/>
  <c r="V215" i="2" a="1"/>
  <c r="V215" i="2" s="1"/>
  <c r="V216" i="2" a="1"/>
  <c r="V216" i="2"/>
  <c r="V217" i="2" a="1"/>
  <c r="V217" i="2"/>
  <c r="V218" i="2" a="1"/>
  <c r="V218" i="2"/>
  <c r="V219" i="2" a="1"/>
  <c r="V219" i="2" s="1"/>
  <c r="V220" i="2" a="1"/>
  <c r="V220" i="2"/>
  <c r="V221" i="2" a="1"/>
  <c r="V221" i="2"/>
  <c r="V222" i="2" a="1"/>
  <c r="V222" i="2" s="1"/>
  <c r="V223" i="2" a="1"/>
  <c r="V223" i="2" s="1"/>
  <c r="V224" i="2" a="1"/>
  <c r="V224" i="2"/>
  <c r="V225" i="2" a="1"/>
  <c r="V225" i="2"/>
  <c r="V226" i="2" a="1"/>
  <c r="V226" i="2"/>
  <c r="V227" i="2" a="1"/>
  <c r="V227" i="2" s="1"/>
  <c r="V228" i="2" a="1"/>
  <c r="V228" i="2" s="1"/>
  <c r="V229" i="2" a="1"/>
  <c r="V229" i="2"/>
  <c r="V230" i="2" a="1"/>
  <c r="V230" i="2"/>
  <c r="V231" i="2" a="1"/>
  <c r="V231" i="2" s="1"/>
  <c r="V232" i="2" a="1"/>
  <c r="V232" i="2"/>
  <c r="V233" i="2" a="1"/>
  <c r="V233" i="2"/>
  <c r="V234" i="2" a="1"/>
  <c r="V234" i="2"/>
  <c r="V235" i="2" a="1"/>
  <c r="V235" i="2" s="1"/>
  <c r="V236" i="2" a="1"/>
  <c r="V236" i="2" s="1"/>
  <c r="V237" i="2" a="1"/>
  <c r="V237" i="2" s="1"/>
  <c r="V238" i="2" a="1"/>
  <c r="V238" i="2"/>
  <c r="V239" i="2" a="1"/>
  <c r="V239" i="2" s="1"/>
  <c r="V240" i="2" a="1"/>
  <c r="V240" i="2"/>
  <c r="V241" i="2" a="1"/>
  <c r="V241" i="2"/>
  <c r="V242" i="2" a="1"/>
  <c r="V242" i="2"/>
  <c r="V243" i="2" a="1"/>
  <c r="V243" i="2" s="1"/>
  <c r="V244" i="2" a="1"/>
  <c r="V244" i="2"/>
  <c r="V245" i="2" a="1"/>
  <c r="V245" i="2" s="1"/>
  <c r="V246" i="2" a="1"/>
  <c r="V246" i="2" s="1"/>
  <c r="V247" i="2" a="1"/>
  <c r="V247" i="2" s="1"/>
  <c r="V248" i="2" a="1"/>
  <c r="V248" i="2"/>
  <c r="V249" i="2" a="1"/>
  <c r="V249" i="2"/>
  <c r="V250" i="2" a="1"/>
  <c r="V250" i="2"/>
  <c r="V251" i="2" a="1"/>
  <c r="V251" i="2" s="1"/>
  <c r="V252" i="2" a="1"/>
  <c r="V252" i="2"/>
  <c r="V253" i="2" a="1"/>
  <c r="V253" i="2"/>
  <c r="V254" i="2" a="1"/>
  <c r="V254" i="2" s="1"/>
  <c r="V255" i="2" a="1"/>
  <c r="V255" i="2" s="1"/>
  <c r="V256" i="2" a="1"/>
  <c r="V256" i="2"/>
  <c r="V257" i="2" a="1"/>
  <c r="V257" i="2"/>
  <c r="V258" i="2" a="1"/>
  <c r="V258" i="2"/>
  <c r="V259" i="2" a="1"/>
  <c r="V259" i="2" s="1"/>
  <c r="V260" i="2" a="1"/>
  <c r="V260" i="2" s="1"/>
  <c r="V261" i="2" a="1"/>
  <c r="V261" i="2"/>
  <c r="V262" i="2" a="1"/>
  <c r="V262" i="2"/>
  <c r="V263" i="2" a="1"/>
  <c r="V263" i="2" s="1"/>
  <c r="V264" i="2" a="1"/>
  <c r="V264" i="2"/>
  <c r="V265" i="2" a="1"/>
  <c r="V265" i="2"/>
  <c r="V266" i="2" a="1"/>
  <c r="V266" i="2"/>
  <c r="V267" i="2" a="1"/>
  <c r="V267" i="2" s="1"/>
  <c r="V268" i="2" a="1"/>
  <c r="V268" i="2" s="1"/>
  <c r="V269" i="2" a="1"/>
  <c r="V269" i="2" s="1"/>
  <c r="V270" i="2" a="1"/>
  <c r="V270" i="2"/>
  <c r="V271" i="2" a="1"/>
  <c r="V271" i="2" s="1"/>
  <c r="V272" i="2" a="1"/>
  <c r="V272" i="2"/>
  <c r="V273" i="2" a="1"/>
  <c r="V273" i="2"/>
  <c r="V274" i="2" a="1"/>
  <c r="V274" i="2"/>
  <c r="V275" i="2" a="1"/>
  <c r="V275" i="2" s="1"/>
  <c r="V276" i="2" a="1"/>
  <c r="V276" i="2"/>
  <c r="V277" i="2" a="1"/>
  <c r="V277" i="2" s="1"/>
  <c r="V278" i="2" a="1"/>
  <c r="V278" i="2" s="1"/>
  <c r="V279" i="2" a="1"/>
  <c r="V279" i="2" s="1"/>
  <c r="V280" i="2" a="1"/>
  <c r="V280" i="2"/>
  <c r="V281" i="2" a="1"/>
  <c r="V281" i="2"/>
  <c r="V282" i="2" a="1"/>
  <c r="V282" i="2" s="1"/>
  <c r="V283" i="2" a="1"/>
  <c r="V283" i="2" s="1"/>
  <c r="V284" i="2" a="1"/>
  <c r="V284" i="2"/>
  <c r="V285" i="2" a="1"/>
  <c r="V285" i="2"/>
  <c r="V286" i="2" a="1"/>
  <c r="V286" i="2" s="1"/>
  <c r="V287" i="2" a="1"/>
  <c r="V287" i="2" s="1"/>
  <c r="V288" i="2" a="1"/>
  <c r="V288" i="2"/>
  <c r="V289" i="2" a="1"/>
  <c r="V289" i="2"/>
  <c r="V290" i="2" a="1"/>
  <c r="V290" i="2"/>
  <c r="V291" i="2" a="1"/>
  <c r="V291" i="2" s="1"/>
  <c r="V292" i="2" a="1"/>
  <c r="V292" i="2" s="1"/>
  <c r="V293" i="2" a="1"/>
  <c r="V293" i="2"/>
  <c r="V294" i="2" a="1"/>
  <c r="V294" i="2"/>
  <c r="V295" i="2" a="1"/>
  <c r="V295" i="2" s="1"/>
  <c r="V296" i="2" a="1"/>
  <c r="V296" i="2" s="1"/>
  <c r="V297" i="2" a="1"/>
  <c r="V297" i="2"/>
  <c r="V298" i="2" a="1"/>
  <c r="V298" i="2"/>
  <c r="V299" i="2" a="1"/>
  <c r="V299" i="2" s="1"/>
  <c r="V300" i="2" a="1"/>
  <c r="V300" i="2" s="1"/>
  <c r="V301" i="2" a="1"/>
  <c r="V301" i="2" s="1"/>
  <c r="V302" i="2" a="1"/>
  <c r="V302" i="2"/>
  <c r="V303" i="2" a="1"/>
  <c r="V303" i="2" s="1"/>
  <c r="V304" i="2" a="1"/>
  <c r="V304" i="2"/>
  <c r="V305" i="2" a="1"/>
  <c r="V305" i="2" s="1"/>
  <c r="V306" i="2" a="1"/>
  <c r="V306" i="2"/>
  <c r="V307" i="2" a="1"/>
  <c r="V307" i="2" s="1"/>
  <c r="V308" i="2" a="1"/>
  <c r="V308" i="2"/>
  <c r="V309" i="2" a="1"/>
  <c r="V309" i="2" s="1"/>
  <c r="V310" i="2" a="1"/>
  <c r="V310" i="2" s="1"/>
  <c r="V311" i="2" a="1"/>
  <c r="V311" i="2" s="1"/>
  <c r="V312" i="2" a="1"/>
  <c r="V312" i="2"/>
  <c r="V313" i="2" a="1"/>
  <c r="V313" i="2"/>
  <c r="V314" i="2" a="1"/>
  <c r="V314" i="2" s="1"/>
  <c r="V315" i="2" a="1"/>
  <c r="V315" i="2" s="1"/>
  <c r="V316" i="2" a="1"/>
  <c r="V316" i="2"/>
  <c r="V317" i="2" a="1"/>
  <c r="V317" i="2"/>
  <c r="V318" i="2" a="1"/>
  <c r="V318" i="2" s="1"/>
  <c r="V319" i="2" a="1"/>
  <c r="V319" i="2" s="1"/>
  <c r="V320" i="2" a="1"/>
  <c r="V320" i="2"/>
  <c r="V321" i="2" a="1"/>
  <c r="V321" i="2"/>
  <c r="V322" i="2" a="1"/>
  <c r="V322" i="2"/>
  <c r="V323" i="2" a="1"/>
  <c r="V323" i="2" s="1"/>
  <c r="V324" i="2" a="1"/>
  <c r="V324" i="2" s="1"/>
  <c r="V325" i="2" a="1"/>
  <c r="V325" i="2"/>
  <c r="V326" i="2" a="1"/>
  <c r="V326" i="2"/>
  <c r="V327" i="2" a="1"/>
  <c r="V327" i="2" s="1"/>
  <c r="V328" i="2" a="1"/>
  <c r="V328" i="2" s="1"/>
  <c r="V329" i="2" a="1"/>
  <c r="V329" i="2"/>
  <c r="V330" i="2" a="1"/>
  <c r="V330" i="2"/>
  <c r="V331" i="2" a="1"/>
  <c r="V331" i="2" s="1"/>
  <c r="V332" i="2" a="1"/>
  <c r="V332" i="2" s="1"/>
  <c r="V333" i="2" a="1"/>
  <c r="V333" i="2" s="1"/>
  <c r="V334" i="2" a="1"/>
  <c r="V334" i="2"/>
  <c r="V335" i="2" a="1"/>
  <c r="V335" i="2" s="1"/>
  <c r="V336" i="2" a="1"/>
  <c r="V336" i="2"/>
  <c r="V337" i="2" a="1"/>
  <c r="V337" i="2" s="1"/>
  <c r="V338" i="2" a="1"/>
  <c r="V338" i="2"/>
  <c r="V339" i="2" a="1"/>
  <c r="V339" i="2" s="1"/>
  <c r="V340" i="2" a="1"/>
  <c r="V340" i="2"/>
  <c r="V341" i="2" a="1"/>
  <c r="V341" i="2" s="1"/>
  <c r="V342" i="2" a="1"/>
  <c r="V342" i="2" s="1"/>
  <c r="V343" i="2" a="1"/>
  <c r="V343" i="2"/>
  <c r="V344" i="2" a="1"/>
  <c r="V344" i="2"/>
  <c r="V345" i="2" a="1"/>
  <c r="V345" i="2" s="1"/>
  <c r="V346" i="2" a="1"/>
  <c r="V346" i="2" s="1"/>
  <c r="V347" i="2" a="1"/>
  <c r="V347" i="2"/>
  <c r="V348" i="2" a="1"/>
  <c r="V348" i="2"/>
  <c r="V349" i="2" a="1"/>
  <c r="V349" i="2" s="1"/>
  <c r="V350" i="2" a="1"/>
  <c r="V350" i="2" s="1"/>
  <c r="V351" i="2" a="1"/>
  <c r="V351" i="2"/>
  <c r="V352" i="2" a="1"/>
  <c r="V352" i="2"/>
  <c r="V353" i="2" a="1"/>
  <c r="V353" i="2" s="1"/>
  <c r="V354" i="2" a="1"/>
  <c r="V354" i="2" s="1"/>
  <c r="V355" i="2" a="1"/>
  <c r="V355" i="2"/>
  <c r="V356" i="2" a="1"/>
  <c r="V356" i="2"/>
  <c r="V357" i="2" a="1"/>
  <c r="V357" i="2" s="1"/>
  <c r="V358" i="2" a="1"/>
  <c r="V358" i="2" s="1"/>
  <c r="V359" i="2" a="1"/>
  <c r="V359" i="2"/>
  <c r="V360" i="2" a="1"/>
  <c r="V360" i="2"/>
  <c r="V361" i="2" a="1"/>
  <c r="V361" i="2" s="1"/>
  <c r="V362" i="2" a="1"/>
  <c r="V362" i="2" s="1"/>
  <c r="V363" i="2" a="1"/>
  <c r="V363" i="2"/>
  <c r="V364" i="2" a="1"/>
  <c r="V364" i="2"/>
  <c r="V365" i="2" a="1"/>
  <c r="V365" i="2" s="1"/>
  <c r="V366" i="2" a="1"/>
  <c r="V366" i="2" s="1"/>
  <c r="V367" i="2" a="1"/>
  <c r="V367" i="2"/>
  <c r="V368" i="2" a="1"/>
  <c r="V368" i="2"/>
  <c r="V369" i="2" a="1"/>
  <c r="V369" i="2" s="1"/>
  <c r="V370" i="2" a="1"/>
  <c r="V370" i="2" s="1"/>
  <c r="V371" i="2" a="1"/>
  <c r="V371" i="2"/>
  <c r="V372" i="2" a="1"/>
  <c r="V372" i="2"/>
  <c r="V373" i="2" a="1"/>
  <c r="V373" i="2" s="1"/>
  <c r="V374" i="2" a="1"/>
  <c r="V374" i="2" s="1"/>
  <c r="V375" i="2" a="1"/>
  <c r="V375" i="2"/>
  <c r="V376" i="2" a="1"/>
  <c r="V376" i="2"/>
  <c r="V377" i="2" a="1"/>
  <c r="V377" i="2" s="1"/>
  <c r="V378" i="2" a="1"/>
  <c r="V378" i="2" s="1"/>
  <c r="V379" i="2" a="1"/>
  <c r="V379" i="2"/>
  <c r="V380" i="2" a="1"/>
  <c r="V380" i="2"/>
  <c r="V381" i="2" a="1"/>
  <c r="V381" i="2" s="1"/>
  <c r="V382" i="2" a="1"/>
  <c r="V382" i="2" s="1"/>
  <c r="V383" i="2" a="1"/>
  <c r="V383" i="2"/>
  <c r="V384" i="2" a="1"/>
  <c r="V384" i="2"/>
  <c r="V385" i="2" a="1"/>
  <c r="V385" i="2" s="1"/>
  <c r="V386" i="2" a="1"/>
  <c r="V386" i="2" s="1"/>
  <c r="V387" i="2" a="1"/>
  <c r="V387" i="2"/>
  <c r="V388" i="2" a="1"/>
  <c r="V388" i="2"/>
  <c r="V389" i="2" a="1"/>
  <c r="V389" i="2" s="1"/>
  <c r="V390" i="2" a="1"/>
  <c r="V390" i="2" s="1"/>
  <c r="V391" i="2" a="1"/>
  <c r="V391" i="2"/>
  <c r="V392" i="2" a="1"/>
  <c r="V392" i="2"/>
  <c r="V393" i="2" a="1"/>
  <c r="V393" i="2" s="1"/>
  <c r="V394" i="2" a="1"/>
  <c r="V394" i="2" s="1"/>
  <c r="V395" i="2" a="1"/>
  <c r="V395" i="2"/>
  <c r="V396" i="2" a="1"/>
  <c r="V396" i="2"/>
  <c r="V397" i="2" a="1"/>
  <c r="V397" i="2" s="1"/>
  <c r="V398" i="2" a="1"/>
  <c r="V398" i="2" s="1"/>
  <c r="V399" i="2" a="1"/>
  <c r="V399" i="2"/>
  <c r="V400" i="2" a="1"/>
  <c r="V400" i="2"/>
  <c r="V401" i="2" a="1"/>
  <c r="V401" i="2" s="1"/>
  <c r="V402" i="2" a="1"/>
  <c r="V402" i="2" s="1"/>
  <c r="V403" i="2" a="1"/>
  <c r="V403" i="2"/>
  <c r="V404" i="2" a="1"/>
  <c r="V404" i="2"/>
  <c r="V405" i="2" a="1"/>
  <c r="V405" i="2" s="1"/>
  <c r="V406" i="2" a="1"/>
  <c r="V406" i="2" s="1"/>
  <c r="V407" i="2" a="1"/>
  <c r="V407" i="2"/>
  <c r="V408" i="2" a="1"/>
  <c r="V408" i="2"/>
  <c r="V409" i="2" a="1"/>
  <c r="V409" i="2" s="1"/>
  <c r="V410" i="2" a="1"/>
  <c r="V410" i="2" s="1"/>
  <c r="V411" i="2" a="1"/>
  <c r="V411" i="2"/>
  <c r="V412" i="2" a="1"/>
  <c r="V412" i="2"/>
  <c r="V413" i="2" a="1"/>
  <c r="V413" i="2" s="1"/>
  <c r="V414" i="2" a="1"/>
  <c r="V414" i="2" s="1"/>
  <c r="V415" i="2" a="1"/>
  <c r="V415" i="2"/>
  <c r="V416" i="2" a="1"/>
  <c r="V416" i="2"/>
  <c r="V417" i="2" a="1"/>
  <c r="V417" i="2" s="1"/>
  <c r="V418" i="2" a="1"/>
  <c r="V418" i="2" s="1"/>
  <c r="V419" i="2" a="1"/>
  <c r="V419" i="2"/>
  <c r="V420" i="2" a="1"/>
  <c r="V420" i="2"/>
  <c r="V421" i="2" a="1"/>
  <c r="V421" i="2" s="1"/>
  <c r="V422" i="2" a="1"/>
  <c r="V422" i="2" s="1"/>
  <c r="V423" i="2" a="1"/>
  <c r="V423" i="2"/>
  <c r="V424" i="2" a="1"/>
  <c r="V424" i="2"/>
  <c r="V425" i="2" a="1"/>
  <c r="V425" i="2" s="1"/>
  <c r="V426" i="2" a="1"/>
  <c r="V426" i="2" s="1"/>
  <c r="V427" i="2" a="1"/>
  <c r="V427" i="2"/>
  <c r="V428" i="2" a="1"/>
  <c r="V428" i="2"/>
  <c r="V429" i="2" a="1"/>
  <c r="V429" i="2" s="1"/>
  <c r="V430" i="2" a="1"/>
  <c r="V430" i="2" s="1"/>
  <c r="V431" i="2" a="1"/>
  <c r="V431" i="2"/>
  <c r="V432" i="2" a="1"/>
  <c r="V432" i="2"/>
  <c r="V433" i="2" a="1"/>
  <c r="V433" i="2" s="1"/>
  <c r="V434" i="2" a="1"/>
  <c r="V434" i="2" s="1"/>
  <c r="V435" i="2" a="1"/>
  <c r="V435" i="2"/>
  <c r="V436" i="2" a="1"/>
  <c r="V436" i="2"/>
  <c r="V437" i="2" a="1"/>
  <c r="V437" i="2" s="1"/>
  <c r="V438" i="2" a="1"/>
  <c r="V438" i="2" s="1"/>
  <c r="V439" i="2" a="1"/>
  <c r="V439" i="2"/>
  <c r="V440" i="2" a="1"/>
  <c r="V440" i="2"/>
  <c r="V441" i="2" a="1"/>
  <c r="V441" i="2" s="1"/>
  <c r="V442" i="2" a="1"/>
  <c r="V442" i="2" s="1"/>
  <c r="V443" i="2" a="1"/>
  <c r="V443" i="2"/>
  <c r="V444" i="2" a="1"/>
  <c r="V444" i="2"/>
  <c r="V445" i="2" a="1"/>
  <c r="V445" i="2" s="1"/>
  <c r="V446" i="2" a="1"/>
  <c r="V446" i="2" s="1"/>
  <c r="V447" i="2" a="1"/>
  <c r="V447" i="2"/>
  <c r="V448" i="2" a="1"/>
  <c r="V448" i="2"/>
  <c r="V449" i="2" a="1"/>
  <c r="V449" i="2" s="1"/>
  <c r="V450" i="2" a="1"/>
  <c r="V450" i="2" s="1"/>
  <c r="V451" i="2" a="1"/>
  <c r="V451" i="2"/>
  <c r="V452" i="2" a="1"/>
  <c r="V452" i="2"/>
  <c r="V453" i="2" a="1"/>
  <c r="V453" i="2" s="1"/>
  <c r="V454" i="2" a="1"/>
  <c r="V454" i="2" s="1"/>
  <c r="V455" i="2" a="1"/>
  <c r="V455" i="2"/>
  <c r="V456" i="2" a="1"/>
  <c r="V456" i="2"/>
  <c r="V457" i="2" a="1"/>
  <c r="V457" i="2" s="1"/>
  <c r="V458" i="2" a="1"/>
  <c r="V458" i="2" s="1"/>
  <c r="V459" i="2" a="1"/>
  <c r="V459" i="2"/>
  <c r="V460" i="2" a="1"/>
  <c r="V460" i="2"/>
  <c r="V461" i="2" a="1"/>
  <c r="V461" i="2" s="1"/>
  <c r="V462" i="2" a="1"/>
  <c r="V462" i="2" s="1"/>
  <c r="V463" i="2" a="1"/>
  <c r="V463" i="2"/>
  <c r="V464" i="2" a="1"/>
  <c r="V464" i="2"/>
  <c r="V465" i="2" a="1"/>
  <c r="V465" i="2" s="1"/>
  <c r="V466" i="2" a="1"/>
  <c r="V466" i="2" s="1"/>
  <c r="V467" i="2" a="1"/>
  <c r="V467" i="2"/>
  <c r="V468" i="2" a="1"/>
  <c r="V468" i="2"/>
  <c r="V469" i="2" a="1"/>
  <c r="V469" i="2" s="1"/>
  <c r="V470" i="2" a="1"/>
  <c r="V470" i="2" s="1"/>
  <c r="V471" i="2" a="1"/>
  <c r="V471" i="2"/>
  <c r="V472" i="2" a="1"/>
  <c r="V472" i="2"/>
  <c r="V473" i="2" a="1"/>
  <c r="V473" i="2" s="1"/>
  <c r="V474" i="2" a="1"/>
  <c r="V474" i="2" s="1"/>
  <c r="V475" i="2" a="1"/>
  <c r="V475" i="2"/>
  <c r="V476" i="2" a="1"/>
  <c r="V476" i="2"/>
  <c r="V477" i="2" a="1"/>
  <c r="V477" i="2" s="1"/>
  <c r="V478" i="2" a="1"/>
  <c r="V478" i="2" s="1"/>
  <c r="V479" i="2" a="1"/>
  <c r="V479" i="2"/>
  <c r="V480" i="2" a="1"/>
  <c r="V480" i="2"/>
  <c r="V481" i="2" a="1"/>
  <c r="V481" i="2" s="1"/>
  <c r="V482" i="2" a="1"/>
  <c r="V482" i="2" s="1"/>
  <c r="V483" i="2" a="1"/>
  <c r="V483" i="2"/>
  <c r="V484" i="2" a="1"/>
  <c r="V484" i="2"/>
  <c r="V485" i="2" a="1"/>
  <c r="V485" i="2" s="1"/>
  <c r="V486" i="2" a="1"/>
  <c r="V486" i="2" s="1"/>
  <c r="V487" i="2" a="1"/>
  <c r="V487" i="2"/>
  <c r="V488" i="2" a="1"/>
  <c r="V488" i="2"/>
  <c r="V489" i="2" a="1"/>
  <c r="V489" i="2" s="1"/>
  <c r="V490" i="2" a="1"/>
  <c r="V490" i="2" s="1"/>
  <c r="V491" i="2" a="1"/>
  <c r="V491" i="2"/>
  <c r="V492" i="2" a="1"/>
  <c r="V492" i="2"/>
  <c r="V493" i="2" a="1"/>
  <c r="V493" i="2" s="1"/>
  <c r="V494" i="2" a="1"/>
  <c r="V494" i="2" s="1"/>
  <c r="V495" i="2" a="1"/>
  <c r="V495" i="2"/>
  <c r="V496" i="2" a="1"/>
  <c r="V496" i="2"/>
  <c r="V497" i="2" a="1"/>
  <c r="V497" i="2" s="1"/>
  <c r="V498" i="2" a="1"/>
  <c r="V498" i="2" s="1"/>
  <c r="V499" i="2" a="1"/>
  <c r="V499" i="2"/>
  <c r="V500" i="2" a="1"/>
  <c r="V500" i="2"/>
  <c r="V501" i="2" a="1"/>
  <c r="V501" i="2" s="1"/>
  <c r="V2" i="2" a="1"/>
  <c r="V2" i="2" s="1"/>
  <c r="Q2" i="2"/>
  <c r="R501" i="2" a="1"/>
  <c r="R501" i="2" s="1"/>
  <c r="Q501" i="2"/>
  <c r="M501" i="2"/>
  <c r="R500" i="2" a="1"/>
  <c r="R500" i="2" s="1"/>
  <c r="Q500" i="2"/>
  <c r="M500" i="2"/>
  <c r="R499" i="2" a="1"/>
  <c r="R499" i="2" s="1"/>
  <c r="Q499" i="2"/>
  <c r="M499" i="2"/>
  <c r="R498" i="2" a="1"/>
  <c r="R498" i="2" s="1"/>
  <c r="Q498" i="2"/>
  <c r="M498" i="2"/>
  <c r="R497" i="2" a="1"/>
  <c r="R497" i="2" s="1"/>
  <c r="Q497" i="2"/>
  <c r="M497" i="2"/>
  <c r="R496" i="2" a="1"/>
  <c r="R496" i="2" s="1"/>
  <c r="Q496" i="2"/>
  <c r="M496" i="2"/>
  <c r="R495" i="2" a="1"/>
  <c r="R495" i="2" s="1"/>
  <c r="Q495" i="2"/>
  <c r="M495" i="2"/>
  <c r="R494" i="2" a="1"/>
  <c r="R494" i="2" s="1"/>
  <c r="Q494" i="2"/>
  <c r="M494" i="2"/>
  <c r="R493" i="2" a="1"/>
  <c r="R493" i="2" s="1"/>
  <c r="Q493" i="2"/>
  <c r="M493" i="2"/>
  <c r="R492" i="2" a="1"/>
  <c r="R492" i="2" s="1"/>
  <c r="Q492" i="2"/>
  <c r="M492" i="2"/>
  <c r="R491" i="2" a="1"/>
  <c r="R491" i="2" s="1"/>
  <c r="Q491" i="2"/>
  <c r="M491" i="2"/>
  <c r="R490" i="2" a="1"/>
  <c r="R490" i="2" s="1"/>
  <c r="Q490" i="2"/>
  <c r="M490" i="2"/>
  <c r="R489" i="2" a="1"/>
  <c r="R489" i="2" s="1"/>
  <c r="Q489" i="2"/>
  <c r="M489" i="2"/>
  <c r="R488" i="2" a="1"/>
  <c r="R488" i="2" s="1"/>
  <c r="Q488" i="2"/>
  <c r="M488" i="2"/>
  <c r="R487" i="2" a="1"/>
  <c r="R487" i="2" s="1"/>
  <c r="Q487" i="2"/>
  <c r="M487" i="2"/>
  <c r="R486" i="2" a="1"/>
  <c r="R486" i="2" s="1"/>
  <c r="Q486" i="2"/>
  <c r="M486" i="2"/>
  <c r="R485" i="2" a="1"/>
  <c r="R485" i="2" s="1"/>
  <c r="Q485" i="2"/>
  <c r="M485" i="2"/>
  <c r="R484" i="2" a="1"/>
  <c r="R484" i="2" s="1"/>
  <c r="Q484" i="2"/>
  <c r="M484" i="2"/>
  <c r="R483" i="2" a="1"/>
  <c r="R483" i="2" s="1"/>
  <c r="Q483" i="2"/>
  <c r="M483" i="2"/>
  <c r="R482" i="2" a="1"/>
  <c r="R482" i="2" s="1"/>
  <c r="Q482" i="2"/>
  <c r="M482" i="2"/>
  <c r="R481" i="2" a="1"/>
  <c r="R481" i="2" s="1"/>
  <c r="Q481" i="2"/>
  <c r="M481" i="2"/>
  <c r="R480" i="2" a="1"/>
  <c r="R480" i="2" s="1"/>
  <c r="Q480" i="2"/>
  <c r="M480" i="2"/>
  <c r="R479" i="2" a="1"/>
  <c r="R479" i="2" s="1"/>
  <c r="Q479" i="2"/>
  <c r="M479" i="2"/>
  <c r="R478" i="2" a="1"/>
  <c r="R478" i="2" s="1"/>
  <c r="Q478" i="2"/>
  <c r="M478" i="2"/>
  <c r="R477" i="2" a="1"/>
  <c r="R477" i="2" s="1"/>
  <c r="Q477" i="2"/>
  <c r="M477" i="2"/>
  <c r="R476" i="2" a="1"/>
  <c r="R476" i="2" s="1"/>
  <c r="Q476" i="2"/>
  <c r="M476" i="2"/>
  <c r="R475" i="2" a="1"/>
  <c r="R475" i="2" s="1"/>
  <c r="Q475" i="2"/>
  <c r="M475" i="2"/>
  <c r="R474" i="2" a="1"/>
  <c r="R474" i="2" s="1"/>
  <c r="Q474" i="2"/>
  <c r="M474" i="2"/>
  <c r="R473" i="2" a="1"/>
  <c r="R473" i="2" s="1"/>
  <c r="Q473" i="2"/>
  <c r="M473" i="2"/>
  <c r="R472" i="2" a="1"/>
  <c r="R472" i="2" s="1"/>
  <c r="Q472" i="2"/>
  <c r="M472" i="2"/>
  <c r="R471" i="2" a="1"/>
  <c r="R471" i="2" s="1"/>
  <c r="Q471" i="2"/>
  <c r="M471" i="2"/>
  <c r="R470" i="2" a="1"/>
  <c r="R470" i="2" s="1"/>
  <c r="Q470" i="2"/>
  <c r="M470" i="2"/>
  <c r="R469" i="2" a="1"/>
  <c r="R469" i="2" s="1"/>
  <c r="Q469" i="2"/>
  <c r="M469" i="2"/>
  <c r="R468" i="2" a="1"/>
  <c r="R468" i="2" s="1"/>
  <c r="Q468" i="2"/>
  <c r="M468" i="2"/>
  <c r="R467" i="2" a="1"/>
  <c r="R467" i="2" s="1"/>
  <c r="Q467" i="2"/>
  <c r="M467" i="2"/>
  <c r="R466" i="2" a="1"/>
  <c r="R466" i="2" s="1"/>
  <c r="Q466" i="2"/>
  <c r="M466" i="2"/>
  <c r="R465" i="2" a="1"/>
  <c r="R465" i="2" s="1"/>
  <c r="Q465" i="2"/>
  <c r="M465" i="2"/>
  <c r="R464" i="2" a="1"/>
  <c r="R464" i="2" s="1"/>
  <c r="Q464" i="2"/>
  <c r="M464" i="2"/>
  <c r="R463" i="2" a="1"/>
  <c r="R463" i="2" s="1"/>
  <c r="Q463" i="2"/>
  <c r="M463" i="2"/>
  <c r="R462" i="2" a="1"/>
  <c r="R462" i="2" s="1"/>
  <c r="Q462" i="2"/>
  <c r="M462" i="2"/>
  <c r="R461" i="2" a="1"/>
  <c r="R461" i="2" s="1"/>
  <c r="Q461" i="2"/>
  <c r="M461" i="2"/>
  <c r="R460" i="2" a="1"/>
  <c r="R460" i="2" s="1"/>
  <c r="Q460" i="2"/>
  <c r="M460" i="2"/>
  <c r="R459" i="2" a="1"/>
  <c r="R459" i="2" s="1"/>
  <c r="Q459" i="2"/>
  <c r="M459" i="2"/>
  <c r="R458" i="2" a="1"/>
  <c r="R458" i="2" s="1"/>
  <c r="Q458" i="2"/>
  <c r="M458" i="2"/>
  <c r="R457" i="2" a="1"/>
  <c r="R457" i="2" s="1"/>
  <c r="Q457" i="2"/>
  <c r="M457" i="2"/>
  <c r="R456" i="2" a="1"/>
  <c r="R456" i="2" s="1"/>
  <c r="Q456" i="2"/>
  <c r="M456" i="2"/>
  <c r="R455" i="2" a="1"/>
  <c r="R455" i="2" s="1"/>
  <c r="Q455" i="2"/>
  <c r="M455" i="2"/>
  <c r="R454" i="2" a="1"/>
  <c r="R454" i="2" s="1"/>
  <c r="Q454" i="2"/>
  <c r="M454" i="2"/>
  <c r="R453" i="2" a="1"/>
  <c r="R453" i="2" s="1"/>
  <c r="Q453" i="2"/>
  <c r="M453" i="2"/>
  <c r="R452" i="2" a="1"/>
  <c r="R452" i="2" s="1"/>
  <c r="Q452" i="2"/>
  <c r="M452" i="2"/>
  <c r="R451" i="2" a="1"/>
  <c r="R451" i="2" s="1"/>
  <c r="Q451" i="2"/>
  <c r="M451" i="2"/>
  <c r="R450" i="2" a="1"/>
  <c r="R450" i="2" s="1"/>
  <c r="Q450" i="2"/>
  <c r="M450" i="2"/>
  <c r="R449" i="2" a="1"/>
  <c r="R449" i="2" s="1"/>
  <c r="Q449" i="2"/>
  <c r="M449" i="2"/>
  <c r="R448" i="2" a="1"/>
  <c r="R448" i="2" s="1"/>
  <c r="Q448" i="2"/>
  <c r="M448" i="2"/>
  <c r="R447" i="2" a="1"/>
  <c r="R447" i="2" s="1"/>
  <c r="Q447" i="2"/>
  <c r="M447" i="2"/>
  <c r="R446" i="2" a="1"/>
  <c r="R446" i="2" s="1"/>
  <c r="Q446" i="2"/>
  <c r="M446" i="2"/>
  <c r="R445" i="2" a="1"/>
  <c r="R445" i="2" s="1"/>
  <c r="Q445" i="2"/>
  <c r="M445" i="2"/>
  <c r="R444" i="2" a="1"/>
  <c r="R444" i="2" s="1"/>
  <c r="Q444" i="2"/>
  <c r="M444" i="2"/>
  <c r="R443" i="2" a="1"/>
  <c r="R443" i="2" s="1"/>
  <c r="Q443" i="2"/>
  <c r="M443" i="2"/>
  <c r="R442" i="2" a="1"/>
  <c r="R442" i="2" s="1"/>
  <c r="Q442" i="2"/>
  <c r="M442" i="2"/>
  <c r="R441" i="2" a="1"/>
  <c r="R441" i="2" s="1"/>
  <c r="Q441" i="2"/>
  <c r="M441" i="2"/>
  <c r="R440" i="2" a="1"/>
  <c r="R440" i="2" s="1"/>
  <c r="Q440" i="2"/>
  <c r="M440" i="2"/>
  <c r="R439" i="2" a="1"/>
  <c r="R439" i="2" s="1"/>
  <c r="Q439" i="2"/>
  <c r="M439" i="2"/>
  <c r="R438" i="2" a="1"/>
  <c r="R438" i="2" s="1"/>
  <c r="Q438" i="2"/>
  <c r="M438" i="2"/>
  <c r="R437" i="2" a="1"/>
  <c r="R437" i="2" s="1"/>
  <c r="Q437" i="2"/>
  <c r="M437" i="2"/>
  <c r="R436" i="2" a="1"/>
  <c r="R436" i="2" s="1"/>
  <c r="Q436" i="2"/>
  <c r="M436" i="2"/>
  <c r="R435" i="2" a="1"/>
  <c r="R435" i="2" s="1"/>
  <c r="Q435" i="2"/>
  <c r="M435" i="2"/>
  <c r="R434" i="2" a="1"/>
  <c r="R434" i="2" s="1"/>
  <c r="Q434" i="2"/>
  <c r="M434" i="2"/>
  <c r="R433" i="2" a="1"/>
  <c r="R433" i="2" s="1"/>
  <c r="Q433" i="2"/>
  <c r="M433" i="2"/>
  <c r="R432" i="2" a="1"/>
  <c r="R432" i="2" s="1"/>
  <c r="Q432" i="2"/>
  <c r="M432" i="2"/>
  <c r="R431" i="2" a="1"/>
  <c r="R431" i="2" s="1"/>
  <c r="Q431" i="2"/>
  <c r="M431" i="2"/>
  <c r="R430" i="2" a="1"/>
  <c r="R430" i="2" s="1"/>
  <c r="Q430" i="2"/>
  <c r="M430" i="2"/>
  <c r="R429" i="2" a="1"/>
  <c r="R429" i="2" s="1"/>
  <c r="Q429" i="2"/>
  <c r="M429" i="2"/>
  <c r="R428" i="2" a="1"/>
  <c r="R428" i="2" s="1"/>
  <c r="Q428" i="2"/>
  <c r="M428" i="2"/>
  <c r="R427" i="2" a="1"/>
  <c r="R427" i="2" s="1"/>
  <c r="Q427" i="2"/>
  <c r="M427" i="2"/>
  <c r="R426" i="2" a="1"/>
  <c r="R426" i="2" s="1"/>
  <c r="Q426" i="2"/>
  <c r="M426" i="2"/>
  <c r="R425" i="2" a="1"/>
  <c r="R425" i="2" s="1"/>
  <c r="Q425" i="2"/>
  <c r="M425" i="2"/>
  <c r="R424" i="2" a="1"/>
  <c r="R424" i="2" s="1"/>
  <c r="Q424" i="2"/>
  <c r="M424" i="2"/>
  <c r="R423" i="2" a="1"/>
  <c r="R423" i="2" s="1"/>
  <c r="Q423" i="2"/>
  <c r="M423" i="2"/>
  <c r="R422" i="2" a="1"/>
  <c r="R422" i="2" s="1"/>
  <c r="Q422" i="2"/>
  <c r="M422" i="2"/>
  <c r="R421" i="2" a="1"/>
  <c r="R421" i="2" s="1"/>
  <c r="Q421" i="2"/>
  <c r="M421" i="2"/>
  <c r="R420" i="2" a="1"/>
  <c r="R420" i="2" s="1"/>
  <c r="Q420" i="2"/>
  <c r="M420" i="2"/>
  <c r="R419" i="2" a="1"/>
  <c r="R419" i="2" s="1"/>
  <c r="Q419" i="2"/>
  <c r="M419" i="2"/>
  <c r="R418" i="2" a="1"/>
  <c r="R418" i="2" s="1"/>
  <c r="Q418" i="2"/>
  <c r="M418" i="2"/>
  <c r="R417" i="2" a="1"/>
  <c r="R417" i="2" s="1"/>
  <c r="Q417" i="2"/>
  <c r="M417" i="2"/>
  <c r="R416" i="2" a="1"/>
  <c r="R416" i="2" s="1"/>
  <c r="Q416" i="2"/>
  <c r="M416" i="2"/>
  <c r="R415" i="2" a="1"/>
  <c r="R415" i="2" s="1"/>
  <c r="Q415" i="2"/>
  <c r="M415" i="2"/>
  <c r="R414" i="2" a="1"/>
  <c r="R414" i="2" s="1"/>
  <c r="Q414" i="2"/>
  <c r="M414" i="2"/>
  <c r="R413" i="2" a="1"/>
  <c r="R413" i="2" s="1"/>
  <c r="Q413" i="2"/>
  <c r="M413" i="2"/>
  <c r="R412" i="2" a="1"/>
  <c r="R412" i="2" s="1"/>
  <c r="Q412" i="2"/>
  <c r="M412" i="2"/>
  <c r="R411" i="2" a="1"/>
  <c r="R411" i="2" s="1"/>
  <c r="Q411" i="2"/>
  <c r="M411" i="2"/>
  <c r="R410" i="2" a="1"/>
  <c r="R410" i="2" s="1"/>
  <c r="Q410" i="2"/>
  <c r="M410" i="2"/>
  <c r="R409" i="2" a="1"/>
  <c r="R409" i="2" s="1"/>
  <c r="Q409" i="2"/>
  <c r="M409" i="2"/>
  <c r="R408" i="2" a="1"/>
  <c r="R408" i="2" s="1"/>
  <c r="Q408" i="2"/>
  <c r="M408" i="2"/>
  <c r="R407" i="2" a="1"/>
  <c r="R407" i="2" s="1"/>
  <c r="Q407" i="2"/>
  <c r="M407" i="2"/>
  <c r="R406" i="2" a="1"/>
  <c r="R406" i="2" s="1"/>
  <c r="Q406" i="2"/>
  <c r="M406" i="2"/>
  <c r="R405" i="2" a="1"/>
  <c r="R405" i="2" s="1"/>
  <c r="Q405" i="2"/>
  <c r="M405" i="2"/>
  <c r="R404" i="2" a="1"/>
  <c r="R404" i="2" s="1"/>
  <c r="Q404" i="2"/>
  <c r="M404" i="2"/>
  <c r="R403" i="2" a="1"/>
  <c r="R403" i="2" s="1"/>
  <c r="Q403" i="2"/>
  <c r="M403" i="2"/>
  <c r="R402" i="2" a="1"/>
  <c r="R402" i="2" s="1"/>
  <c r="Q402" i="2"/>
  <c r="M402" i="2"/>
  <c r="R401" i="2" a="1"/>
  <c r="R401" i="2" s="1"/>
  <c r="Q401" i="2"/>
  <c r="M401" i="2"/>
  <c r="R400" i="2" a="1"/>
  <c r="R400" i="2" s="1"/>
  <c r="Q400" i="2"/>
  <c r="M400" i="2"/>
  <c r="R399" i="2" a="1"/>
  <c r="R399" i="2" s="1"/>
  <c r="Q399" i="2"/>
  <c r="M399" i="2"/>
  <c r="R398" i="2" a="1"/>
  <c r="R398" i="2" s="1"/>
  <c r="Q398" i="2"/>
  <c r="M398" i="2"/>
  <c r="R397" i="2" a="1"/>
  <c r="R397" i="2" s="1"/>
  <c r="Q397" i="2"/>
  <c r="M397" i="2"/>
  <c r="R396" i="2" a="1"/>
  <c r="R396" i="2" s="1"/>
  <c r="Q396" i="2"/>
  <c r="M396" i="2"/>
  <c r="R395" i="2" a="1"/>
  <c r="R395" i="2" s="1"/>
  <c r="Q395" i="2"/>
  <c r="M395" i="2"/>
  <c r="R394" i="2" a="1"/>
  <c r="R394" i="2" s="1"/>
  <c r="Q394" i="2"/>
  <c r="M394" i="2"/>
  <c r="R393" i="2" a="1"/>
  <c r="R393" i="2" s="1"/>
  <c r="Q393" i="2"/>
  <c r="M393" i="2"/>
  <c r="R392" i="2" a="1"/>
  <c r="R392" i="2" s="1"/>
  <c r="Q392" i="2"/>
  <c r="M392" i="2"/>
  <c r="R391" i="2" a="1"/>
  <c r="R391" i="2" s="1"/>
  <c r="Q391" i="2"/>
  <c r="M391" i="2"/>
  <c r="R390" i="2" a="1"/>
  <c r="R390" i="2" s="1"/>
  <c r="Q390" i="2"/>
  <c r="M390" i="2"/>
  <c r="R389" i="2" a="1"/>
  <c r="R389" i="2" s="1"/>
  <c r="Q389" i="2"/>
  <c r="M389" i="2"/>
  <c r="R388" i="2" a="1"/>
  <c r="R388" i="2" s="1"/>
  <c r="Q388" i="2"/>
  <c r="M388" i="2"/>
  <c r="R387" i="2" a="1"/>
  <c r="R387" i="2" s="1"/>
  <c r="Q387" i="2"/>
  <c r="M387" i="2"/>
  <c r="R386" i="2" a="1"/>
  <c r="R386" i="2" s="1"/>
  <c r="Q386" i="2"/>
  <c r="M386" i="2"/>
  <c r="R385" i="2" a="1"/>
  <c r="R385" i="2" s="1"/>
  <c r="Q385" i="2"/>
  <c r="M385" i="2"/>
  <c r="R384" i="2" a="1"/>
  <c r="R384" i="2" s="1"/>
  <c r="Q384" i="2"/>
  <c r="M384" i="2"/>
  <c r="R383" i="2" a="1"/>
  <c r="R383" i="2" s="1"/>
  <c r="Q383" i="2"/>
  <c r="M383" i="2"/>
  <c r="R382" i="2" a="1"/>
  <c r="R382" i="2" s="1"/>
  <c r="Q382" i="2"/>
  <c r="M382" i="2"/>
  <c r="R381" i="2" a="1"/>
  <c r="R381" i="2" s="1"/>
  <c r="Q381" i="2"/>
  <c r="M381" i="2"/>
  <c r="R380" i="2" a="1"/>
  <c r="R380" i="2" s="1"/>
  <c r="Q380" i="2"/>
  <c r="M380" i="2"/>
  <c r="R379" i="2" a="1"/>
  <c r="R379" i="2" s="1"/>
  <c r="Q379" i="2"/>
  <c r="M379" i="2"/>
  <c r="R378" i="2" a="1"/>
  <c r="R378" i="2" s="1"/>
  <c r="Q378" i="2"/>
  <c r="M378" i="2"/>
  <c r="R377" i="2" a="1"/>
  <c r="R377" i="2" s="1"/>
  <c r="Q377" i="2"/>
  <c r="M377" i="2"/>
  <c r="R376" i="2" a="1"/>
  <c r="R376" i="2" s="1"/>
  <c r="Q376" i="2"/>
  <c r="M376" i="2"/>
  <c r="R375" i="2" a="1"/>
  <c r="R375" i="2" s="1"/>
  <c r="Q375" i="2"/>
  <c r="M375" i="2"/>
  <c r="R374" i="2" a="1"/>
  <c r="R374" i="2" s="1"/>
  <c r="Q374" i="2"/>
  <c r="M374" i="2"/>
  <c r="R373" i="2" a="1"/>
  <c r="R373" i="2" s="1"/>
  <c r="Q373" i="2"/>
  <c r="M373" i="2"/>
  <c r="R372" i="2" a="1"/>
  <c r="R372" i="2" s="1"/>
  <c r="Q372" i="2"/>
  <c r="M372" i="2"/>
  <c r="R371" i="2" a="1"/>
  <c r="R371" i="2" s="1"/>
  <c r="Q371" i="2"/>
  <c r="M371" i="2"/>
  <c r="R370" i="2" a="1"/>
  <c r="R370" i="2" s="1"/>
  <c r="Q370" i="2"/>
  <c r="M370" i="2"/>
  <c r="R369" i="2" a="1"/>
  <c r="R369" i="2" s="1"/>
  <c r="Q369" i="2"/>
  <c r="M369" i="2"/>
  <c r="R368" i="2" a="1"/>
  <c r="R368" i="2" s="1"/>
  <c r="Q368" i="2"/>
  <c r="M368" i="2"/>
  <c r="R367" i="2" a="1"/>
  <c r="R367" i="2" s="1"/>
  <c r="Q367" i="2"/>
  <c r="M367" i="2"/>
  <c r="R366" i="2" a="1"/>
  <c r="R366" i="2" s="1"/>
  <c r="Q366" i="2"/>
  <c r="M366" i="2"/>
  <c r="R365" i="2" a="1"/>
  <c r="R365" i="2" s="1"/>
  <c r="Q365" i="2"/>
  <c r="M365" i="2"/>
  <c r="R364" i="2" a="1"/>
  <c r="R364" i="2" s="1"/>
  <c r="Q364" i="2"/>
  <c r="M364" i="2"/>
  <c r="R363" i="2" a="1"/>
  <c r="R363" i="2" s="1"/>
  <c r="Q363" i="2"/>
  <c r="M363" i="2"/>
  <c r="R362" i="2" a="1"/>
  <c r="R362" i="2" s="1"/>
  <c r="Q362" i="2"/>
  <c r="M362" i="2"/>
  <c r="R361" i="2" a="1"/>
  <c r="R361" i="2" s="1"/>
  <c r="Q361" i="2"/>
  <c r="M361" i="2"/>
  <c r="R360" i="2" a="1"/>
  <c r="R360" i="2" s="1"/>
  <c r="Q360" i="2"/>
  <c r="M360" i="2"/>
  <c r="R359" i="2" a="1"/>
  <c r="R359" i="2" s="1"/>
  <c r="Q359" i="2"/>
  <c r="M359" i="2"/>
  <c r="R358" i="2" a="1"/>
  <c r="R358" i="2" s="1"/>
  <c r="Q358" i="2"/>
  <c r="M358" i="2"/>
  <c r="R357" i="2" a="1"/>
  <c r="R357" i="2" s="1"/>
  <c r="Q357" i="2"/>
  <c r="M357" i="2"/>
  <c r="R356" i="2" a="1"/>
  <c r="R356" i="2" s="1"/>
  <c r="Q356" i="2"/>
  <c r="M356" i="2"/>
  <c r="R355" i="2" a="1"/>
  <c r="R355" i="2" s="1"/>
  <c r="Q355" i="2"/>
  <c r="M355" i="2"/>
  <c r="R354" i="2" a="1"/>
  <c r="R354" i="2" s="1"/>
  <c r="Q354" i="2"/>
  <c r="M354" i="2"/>
  <c r="R353" i="2" a="1"/>
  <c r="R353" i="2" s="1"/>
  <c r="Q353" i="2"/>
  <c r="M353" i="2"/>
  <c r="R352" i="2" a="1"/>
  <c r="R352" i="2" s="1"/>
  <c r="Q352" i="2"/>
  <c r="M352" i="2"/>
  <c r="R351" i="2" a="1"/>
  <c r="R351" i="2" s="1"/>
  <c r="Q351" i="2"/>
  <c r="M351" i="2"/>
  <c r="R350" i="2" a="1"/>
  <c r="R350" i="2" s="1"/>
  <c r="Q350" i="2"/>
  <c r="M350" i="2"/>
  <c r="R349" i="2" a="1"/>
  <c r="R349" i="2" s="1"/>
  <c r="Q349" i="2"/>
  <c r="M349" i="2"/>
  <c r="R348" i="2" a="1"/>
  <c r="R348" i="2" s="1"/>
  <c r="Q348" i="2"/>
  <c r="M348" i="2"/>
  <c r="R347" i="2" a="1"/>
  <c r="R347" i="2" s="1"/>
  <c r="Q347" i="2"/>
  <c r="M347" i="2"/>
  <c r="R346" i="2" a="1"/>
  <c r="R346" i="2" s="1"/>
  <c r="Q346" i="2"/>
  <c r="M346" i="2"/>
  <c r="R345" i="2" a="1"/>
  <c r="R345" i="2" s="1"/>
  <c r="Q345" i="2"/>
  <c r="M345" i="2"/>
  <c r="R344" i="2" a="1"/>
  <c r="R344" i="2" s="1"/>
  <c r="Q344" i="2"/>
  <c r="M344" i="2"/>
  <c r="R343" i="2" a="1"/>
  <c r="R343" i="2" s="1"/>
  <c r="Q343" i="2"/>
  <c r="M343" i="2"/>
  <c r="R342" i="2" a="1"/>
  <c r="R342" i="2" s="1"/>
  <c r="Q342" i="2"/>
  <c r="M342" i="2"/>
  <c r="R341" i="2" a="1"/>
  <c r="R341" i="2" s="1"/>
  <c r="Q341" i="2"/>
  <c r="M341" i="2"/>
  <c r="R340" i="2" a="1"/>
  <c r="R340" i="2" s="1"/>
  <c r="Q340" i="2"/>
  <c r="M340" i="2"/>
  <c r="R339" i="2" a="1"/>
  <c r="R339" i="2" s="1"/>
  <c r="Q339" i="2"/>
  <c r="M339" i="2"/>
  <c r="R338" i="2" a="1"/>
  <c r="R338" i="2" s="1"/>
  <c r="Q338" i="2"/>
  <c r="M338" i="2"/>
  <c r="R337" i="2" a="1"/>
  <c r="R337" i="2" s="1"/>
  <c r="Q337" i="2"/>
  <c r="M337" i="2"/>
  <c r="R336" i="2" a="1"/>
  <c r="R336" i="2" s="1"/>
  <c r="Q336" i="2"/>
  <c r="M336" i="2"/>
  <c r="R335" i="2" a="1"/>
  <c r="R335" i="2" s="1"/>
  <c r="Q335" i="2"/>
  <c r="M335" i="2"/>
  <c r="R334" i="2" a="1"/>
  <c r="R334" i="2" s="1"/>
  <c r="Q334" i="2"/>
  <c r="M334" i="2"/>
  <c r="R333" i="2" a="1"/>
  <c r="R333" i="2" s="1"/>
  <c r="Q333" i="2"/>
  <c r="M333" i="2"/>
  <c r="R332" i="2" a="1"/>
  <c r="R332" i="2" s="1"/>
  <c r="Q332" i="2"/>
  <c r="M332" i="2"/>
  <c r="R331" i="2" a="1"/>
  <c r="R331" i="2" s="1"/>
  <c r="Q331" i="2"/>
  <c r="M331" i="2"/>
  <c r="R330" i="2" a="1"/>
  <c r="R330" i="2" s="1"/>
  <c r="Q330" i="2"/>
  <c r="M330" i="2"/>
  <c r="R329" i="2" a="1"/>
  <c r="R329" i="2" s="1"/>
  <c r="Q329" i="2"/>
  <c r="M329" i="2"/>
  <c r="R328" i="2" a="1"/>
  <c r="R328" i="2" s="1"/>
  <c r="Q328" i="2"/>
  <c r="M328" i="2"/>
  <c r="R327" i="2" a="1"/>
  <c r="R327" i="2" s="1"/>
  <c r="Q327" i="2"/>
  <c r="M327" i="2"/>
  <c r="R326" i="2" a="1"/>
  <c r="R326" i="2" s="1"/>
  <c r="Q326" i="2"/>
  <c r="M326" i="2"/>
  <c r="R325" i="2" a="1"/>
  <c r="R325" i="2" s="1"/>
  <c r="Q325" i="2"/>
  <c r="M325" i="2"/>
  <c r="R324" i="2" a="1"/>
  <c r="R324" i="2" s="1"/>
  <c r="Q324" i="2"/>
  <c r="M324" i="2"/>
  <c r="R323" i="2" a="1"/>
  <c r="R323" i="2" s="1"/>
  <c r="Q323" i="2"/>
  <c r="M323" i="2"/>
  <c r="R322" i="2" a="1"/>
  <c r="R322" i="2" s="1"/>
  <c r="Q322" i="2"/>
  <c r="M322" i="2"/>
  <c r="R321" i="2" a="1"/>
  <c r="R321" i="2" s="1"/>
  <c r="Q321" i="2"/>
  <c r="M321" i="2"/>
  <c r="R320" i="2" a="1"/>
  <c r="R320" i="2" s="1"/>
  <c r="Q320" i="2"/>
  <c r="M320" i="2"/>
  <c r="R319" i="2" a="1"/>
  <c r="R319" i="2" s="1"/>
  <c r="Q319" i="2"/>
  <c r="M319" i="2"/>
  <c r="R318" i="2" a="1"/>
  <c r="R318" i="2" s="1"/>
  <c r="Q318" i="2"/>
  <c r="M318" i="2"/>
  <c r="R317" i="2" a="1"/>
  <c r="R317" i="2" s="1"/>
  <c r="Q317" i="2"/>
  <c r="M317" i="2"/>
  <c r="R316" i="2" a="1"/>
  <c r="R316" i="2" s="1"/>
  <c r="Q316" i="2"/>
  <c r="M316" i="2"/>
  <c r="R315" i="2" a="1"/>
  <c r="R315" i="2" s="1"/>
  <c r="Q315" i="2"/>
  <c r="M315" i="2"/>
  <c r="R314" i="2" a="1"/>
  <c r="R314" i="2" s="1"/>
  <c r="Q314" i="2"/>
  <c r="M314" i="2"/>
  <c r="R313" i="2" a="1"/>
  <c r="R313" i="2" s="1"/>
  <c r="Q313" i="2"/>
  <c r="M313" i="2"/>
  <c r="R312" i="2" a="1"/>
  <c r="R312" i="2" s="1"/>
  <c r="Q312" i="2"/>
  <c r="M312" i="2"/>
  <c r="R311" i="2" a="1"/>
  <c r="R311" i="2" s="1"/>
  <c r="Q311" i="2"/>
  <c r="M311" i="2"/>
  <c r="R310" i="2" a="1"/>
  <c r="R310" i="2" s="1"/>
  <c r="Q310" i="2"/>
  <c r="M310" i="2"/>
  <c r="R309" i="2" a="1"/>
  <c r="R309" i="2" s="1"/>
  <c r="Q309" i="2"/>
  <c r="M309" i="2"/>
  <c r="R308" i="2" a="1"/>
  <c r="R308" i="2" s="1"/>
  <c r="Q308" i="2"/>
  <c r="M308" i="2"/>
  <c r="R307" i="2" a="1"/>
  <c r="R307" i="2" s="1"/>
  <c r="Q307" i="2"/>
  <c r="M307" i="2"/>
  <c r="R306" i="2" a="1"/>
  <c r="R306" i="2" s="1"/>
  <c r="Q306" i="2"/>
  <c r="M306" i="2"/>
  <c r="R305" i="2" a="1"/>
  <c r="R305" i="2" s="1"/>
  <c r="Q305" i="2"/>
  <c r="M305" i="2"/>
  <c r="R304" i="2" a="1"/>
  <c r="R304" i="2" s="1"/>
  <c r="Q304" i="2"/>
  <c r="M304" i="2"/>
  <c r="R303" i="2" a="1"/>
  <c r="R303" i="2" s="1"/>
  <c r="Q303" i="2"/>
  <c r="M303" i="2"/>
  <c r="R302" i="2" a="1"/>
  <c r="R302" i="2" s="1"/>
  <c r="Q302" i="2"/>
  <c r="M302" i="2"/>
  <c r="R301" i="2" a="1"/>
  <c r="R301" i="2" s="1"/>
  <c r="Q301" i="2"/>
  <c r="M301" i="2"/>
  <c r="R300" i="2" a="1"/>
  <c r="R300" i="2" s="1"/>
  <c r="Q300" i="2"/>
  <c r="M300" i="2"/>
  <c r="R299" i="2" a="1"/>
  <c r="R299" i="2" s="1"/>
  <c r="Q299" i="2"/>
  <c r="M299" i="2"/>
  <c r="R298" i="2" a="1"/>
  <c r="R298" i="2" s="1"/>
  <c r="Q298" i="2"/>
  <c r="M298" i="2"/>
  <c r="R297" i="2" a="1"/>
  <c r="R297" i="2" s="1"/>
  <c r="Q297" i="2"/>
  <c r="M297" i="2"/>
  <c r="R296" i="2" a="1"/>
  <c r="R296" i="2" s="1"/>
  <c r="Q296" i="2"/>
  <c r="M296" i="2"/>
  <c r="R295" i="2" a="1"/>
  <c r="R295" i="2" s="1"/>
  <c r="Q295" i="2"/>
  <c r="M295" i="2"/>
  <c r="R294" i="2" a="1"/>
  <c r="R294" i="2" s="1"/>
  <c r="Q294" i="2"/>
  <c r="M294" i="2"/>
  <c r="R293" i="2" a="1"/>
  <c r="R293" i="2" s="1"/>
  <c r="Q293" i="2"/>
  <c r="M293" i="2"/>
  <c r="R292" i="2" a="1"/>
  <c r="R292" i="2" s="1"/>
  <c r="Q292" i="2"/>
  <c r="M292" i="2"/>
  <c r="R291" i="2" a="1"/>
  <c r="R291" i="2" s="1"/>
  <c r="Q291" i="2"/>
  <c r="M291" i="2"/>
  <c r="R290" i="2" a="1"/>
  <c r="R290" i="2" s="1"/>
  <c r="Q290" i="2"/>
  <c r="M290" i="2"/>
  <c r="R289" i="2" a="1"/>
  <c r="R289" i="2" s="1"/>
  <c r="Q289" i="2"/>
  <c r="M289" i="2"/>
  <c r="R288" i="2" a="1"/>
  <c r="R288" i="2" s="1"/>
  <c r="Q288" i="2"/>
  <c r="M288" i="2"/>
  <c r="R287" i="2" a="1"/>
  <c r="R287" i="2" s="1"/>
  <c r="Q287" i="2"/>
  <c r="M287" i="2"/>
  <c r="R286" i="2" a="1"/>
  <c r="R286" i="2" s="1"/>
  <c r="Q286" i="2"/>
  <c r="M286" i="2"/>
  <c r="R285" i="2" a="1"/>
  <c r="R285" i="2" s="1"/>
  <c r="Q285" i="2"/>
  <c r="M285" i="2"/>
  <c r="R284" i="2" a="1"/>
  <c r="R284" i="2" s="1"/>
  <c r="Q284" i="2"/>
  <c r="M284" i="2"/>
  <c r="R283" i="2" a="1"/>
  <c r="R283" i="2" s="1"/>
  <c r="Q283" i="2"/>
  <c r="M283" i="2"/>
  <c r="R282" i="2" a="1"/>
  <c r="R282" i="2" s="1"/>
  <c r="Q282" i="2"/>
  <c r="M282" i="2"/>
  <c r="R281" i="2" a="1"/>
  <c r="R281" i="2" s="1"/>
  <c r="Q281" i="2"/>
  <c r="M281" i="2"/>
  <c r="R280" i="2" a="1"/>
  <c r="R280" i="2" s="1"/>
  <c r="Q280" i="2"/>
  <c r="M280" i="2"/>
  <c r="R279" i="2" a="1"/>
  <c r="R279" i="2" s="1"/>
  <c r="Q279" i="2"/>
  <c r="M279" i="2"/>
  <c r="R278" i="2" a="1"/>
  <c r="R278" i="2" s="1"/>
  <c r="Q278" i="2"/>
  <c r="M278" i="2"/>
  <c r="R277" i="2" a="1"/>
  <c r="R277" i="2" s="1"/>
  <c r="Q277" i="2"/>
  <c r="M277" i="2"/>
  <c r="R276" i="2" a="1"/>
  <c r="R276" i="2" s="1"/>
  <c r="Q276" i="2"/>
  <c r="M276" i="2"/>
  <c r="R275" i="2" a="1"/>
  <c r="R275" i="2" s="1"/>
  <c r="Q275" i="2"/>
  <c r="M275" i="2"/>
  <c r="R274" i="2" a="1"/>
  <c r="R274" i="2" s="1"/>
  <c r="Q274" i="2"/>
  <c r="M274" i="2"/>
  <c r="R273" i="2" a="1"/>
  <c r="R273" i="2" s="1"/>
  <c r="Q273" i="2"/>
  <c r="M273" i="2"/>
  <c r="R272" i="2" a="1"/>
  <c r="R272" i="2" s="1"/>
  <c r="Q272" i="2"/>
  <c r="M272" i="2"/>
  <c r="R271" i="2" a="1"/>
  <c r="R271" i="2" s="1"/>
  <c r="Q271" i="2"/>
  <c r="M271" i="2"/>
  <c r="R270" i="2" a="1"/>
  <c r="R270" i="2" s="1"/>
  <c r="Q270" i="2"/>
  <c r="M270" i="2"/>
  <c r="R269" i="2" a="1"/>
  <c r="R269" i="2" s="1"/>
  <c r="Q269" i="2"/>
  <c r="M269" i="2"/>
  <c r="R268" i="2" a="1"/>
  <c r="R268" i="2" s="1"/>
  <c r="Q268" i="2"/>
  <c r="M268" i="2"/>
  <c r="R267" i="2" a="1"/>
  <c r="R267" i="2" s="1"/>
  <c r="Q267" i="2"/>
  <c r="M267" i="2"/>
  <c r="R266" i="2" a="1"/>
  <c r="R266" i="2" s="1"/>
  <c r="Q266" i="2"/>
  <c r="M266" i="2"/>
  <c r="R265" i="2" a="1"/>
  <c r="R265" i="2" s="1"/>
  <c r="Q265" i="2"/>
  <c r="M265" i="2"/>
  <c r="R264" i="2" a="1"/>
  <c r="R264" i="2" s="1"/>
  <c r="Q264" i="2"/>
  <c r="M264" i="2"/>
  <c r="R263" i="2" a="1"/>
  <c r="R263" i="2" s="1"/>
  <c r="Q263" i="2"/>
  <c r="M263" i="2"/>
  <c r="R262" i="2" a="1"/>
  <c r="R262" i="2" s="1"/>
  <c r="Q262" i="2"/>
  <c r="M262" i="2"/>
  <c r="R261" i="2" a="1"/>
  <c r="R261" i="2" s="1"/>
  <c r="Q261" i="2"/>
  <c r="M261" i="2"/>
  <c r="R260" i="2" a="1"/>
  <c r="R260" i="2" s="1"/>
  <c r="Q260" i="2"/>
  <c r="M260" i="2"/>
  <c r="R259" i="2" a="1"/>
  <c r="R259" i="2" s="1"/>
  <c r="Q259" i="2"/>
  <c r="M259" i="2"/>
  <c r="R258" i="2" a="1"/>
  <c r="R258" i="2" s="1"/>
  <c r="Q258" i="2"/>
  <c r="M258" i="2"/>
  <c r="R257" i="2" a="1"/>
  <c r="R257" i="2" s="1"/>
  <c r="Q257" i="2"/>
  <c r="M257" i="2"/>
  <c r="R256" i="2" a="1"/>
  <c r="R256" i="2" s="1"/>
  <c r="Q256" i="2"/>
  <c r="M256" i="2"/>
  <c r="R255" i="2" a="1"/>
  <c r="R255" i="2" s="1"/>
  <c r="Q255" i="2"/>
  <c r="M255" i="2"/>
  <c r="R254" i="2" a="1"/>
  <c r="R254" i="2" s="1"/>
  <c r="Q254" i="2"/>
  <c r="M254" i="2"/>
  <c r="R253" i="2" a="1"/>
  <c r="R253" i="2" s="1"/>
  <c r="Q253" i="2"/>
  <c r="M253" i="2"/>
  <c r="R252" i="2" a="1"/>
  <c r="R252" i="2" s="1"/>
  <c r="Q252" i="2"/>
  <c r="M252" i="2"/>
  <c r="R251" i="2" a="1"/>
  <c r="R251" i="2" s="1"/>
  <c r="Q251" i="2"/>
  <c r="M251" i="2"/>
  <c r="R250" i="2" a="1"/>
  <c r="R250" i="2" s="1"/>
  <c r="Q250" i="2"/>
  <c r="M250" i="2"/>
  <c r="R249" i="2" a="1"/>
  <c r="R249" i="2" s="1"/>
  <c r="Q249" i="2"/>
  <c r="M249" i="2"/>
  <c r="R248" i="2" a="1"/>
  <c r="R248" i="2" s="1"/>
  <c r="Q248" i="2"/>
  <c r="M248" i="2"/>
  <c r="R247" i="2" a="1"/>
  <c r="R247" i="2" s="1"/>
  <c r="Q247" i="2"/>
  <c r="M247" i="2"/>
  <c r="R246" i="2" a="1"/>
  <c r="R246" i="2" s="1"/>
  <c r="Q246" i="2"/>
  <c r="M246" i="2"/>
  <c r="R245" i="2" a="1"/>
  <c r="R245" i="2" s="1"/>
  <c r="Q245" i="2"/>
  <c r="M245" i="2"/>
  <c r="R244" i="2" a="1"/>
  <c r="R244" i="2" s="1"/>
  <c r="Q244" i="2"/>
  <c r="M244" i="2"/>
  <c r="R243" i="2" a="1"/>
  <c r="R243" i="2" s="1"/>
  <c r="Q243" i="2"/>
  <c r="M243" i="2"/>
  <c r="R242" i="2" a="1"/>
  <c r="R242" i="2" s="1"/>
  <c r="Q242" i="2"/>
  <c r="M242" i="2"/>
  <c r="R241" i="2" a="1"/>
  <c r="R241" i="2" s="1"/>
  <c r="Q241" i="2"/>
  <c r="M241" i="2"/>
  <c r="R240" i="2" a="1"/>
  <c r="R240" i="2" s="1"/>
  <c r="Q240" i="2"/>
  <c r="M240" i="2"/>
  <c r="R239" i="2" a="1"/>
  <c r="R239" i="2" s="1"/>
  <c r="Q239" i="2"/>
  <c r="M239" i="2"/>
  <c r="R238" i="2" a="1"/>
  <c r="R238" i="2" s="1"/>
  <c r="Q238" i="2"/>
  <c r="M238" i="2"/>
  <c r="R237" i="2" a="1"/>
  <c r="R237" i="2" s="1"/>
  <c r="Q237" i="2"/>
  <c r="M237" i="2"/>
  <c r="R236" i="2" a="1"/>
  <c r="R236" i="2" s="1"/>
  <c r="Q236" i="2"/>
  <c r="M236" i="2"/>
  <c r="R235" i="2" a="1"/>
  <c r="R235" i="2" s="1"/>
  <c r="Q235" i="2"/>
  <c r="M235" i="2"/>
  <c r="R234" i="2" a="1"/>
  <c r="R234" i="2" s="1"/>
  <c r="Q234" i="2"/>
  <c r="M234" i="2"/>
  <c r="R233" i="2" a="1"/>
  <c r="R233" i="2" s="1"/>
  <c r="Q233" i="2"/>
  <c r="M233" i="2"/>
  <c r="R232" i="2" a="1"/>
  <c r="R232" i="2" s="1"/>
  <c r="Q232" i="2"/>
  <c r="M232" i="2"/>
  <c r="R231" i="2" a="1"/>
  <c r="R231" i="2" s="1"/>
  <c r="Q231" i="2"/>
  <c r="M231" i="2"/>
  <c r="R230" i="2" a="1"/>
  <c r="R230" i="2" s="1"/>
  <c r="Q230" i="2"/>
  <c r="M230" i="2"/>
  <c r="R229" i="2" a="1"/>
  <c r="R229" i="2" s="1"/>
  <c r="Q229" i="2"/>
  <c r="M229" i="2"/>
  <c r="R228" i="2" a="1"/>
  <c r="R228" i="2" s="1"/>
  <c r="Q228" i="2"/>
  <c r="M228" i="2"/>
  <c r="R227" i="2" a="1"/>
  <c r="R227" i="2" s="1"/>
  <c r="Q227" i="2"/>
  <c r="M227" i="2"/>
  <c r="R226" i="2" a="1"/>
  <c r="R226" i="2" s="1"/>
  <c r="Q226" i="2"/>
  <c r="M226" i="2"/>
  <c r="R225" i="2" a="1"/>
  <c r="R225" i="2" s="1"/>
  <c r="Q225" i="2"/>
  <c r="M225" i="2"/>
  <c r="R224" i="2" a="1"/>
  <c r="R224" i="2" s="1"/>
  <c r="Q224" i="2"/>
  <c r="M224" i="2"/>
  <c r="R223" i="2" a="1"/>
  <c r="R223" i="2" s="1"/>
  <c r="Q223" i="2"/>
  <c r="M223" i="2"/>
  <c r="R222" i="2" a="1"/>
  <c r="R222" i="2" s="1"/>
  <c r="Q222" i="2"/>
  <c r="M222" i="2"/>
  <c r="R221" i="2" a="1"/>
  <c r="R221" i="2" s="1"/>
  <c r="Q221" i="2"/>
  <c r="M221" i="2"/>
  <c r="R220" i="2" a="1"/>
  <c r="R220" i="2" s="1"/>
  <c r="Q220" i="2"/>
  <c r="M220" i="2"/>
  <c r="R219" i="2" a="1"/>
  <c r="R219" i="2" s="1"/>
  <c r="Q219" i="2"/>
  <c r="M219" i="2"/>
  <c r="R218" i="2" a="1"/>
  <c r="R218" i="2" s="1"/>
  <c r="Q218" i="2"/>
  <c r="M218" i="2"/>
  <c r="R217" i="2" a="1"/>
  <c r="R217" i="2" s="1"/>
  <c r="Q217" i="2"/>
  <c r="M217" i="2"/>
  <c r="R216" i="2" a="1"/>
  <c r="R216" i="2" s="1"/>
  <c r="Q216" i="2"/>
  <c r="M216" i="2"/>
  <c r="R215" i="2" a="1"/>
  <c r="R215" i="2" s="1"/>
  <c r="Q215" i="2"/>
  <c r="M215" i="2"/>
  <c r="R214" i="2" a="1"/>
  <c r="R214" i="2" s="1"/>
  <c r="Q214" i="2"/>
  <c r="M214" i="2"/>
  <c r="R213" i="2" a="1"/>
  <c r="R213" i="2" s="1"/>
  <c r="Q213" i="2"/>
  <c r="M213" i="2"/>
  <c r="R212" i="2" a="1"/>
  <c r="R212" i="2" s="1"/>
  <c r="Q212" i="2"/>
  <c r="M212" i="2"/>
  <c r="R211" i="2" a="1"/>
  <c r="R211" i="2" s="1"/>
  <c r="Q211" i="2"/>
  <c r="M211" i="2"/>
  <c r="R210" i="2" a="1"/>
  <c r="R210" i="2" s="1"/>
  <c r="Q210" i="2"/>
  <c r="M210" i="2"/>
  <c r="R209" i="2" a="1"/>
  <c r="R209" i="2" s="1"/>
  <c r="Q209" i="2"/>
  <c r="M209" i="2"/>
  <c r="R208" i="2" a="1"/>
  <c r="R208" i="2" s="1"/>
  <c r="Q208" i="2"/>
  <c r="M208" i="2"/>
  <c r="R207" i="2" a="1"/>
  <c r="R207" i="2" s="1"/>
  <c r="Q207" i="2"/>
  <c r="M207" i="2"/>
  <c r="R206" i="2" a="1"/>
  <c r="R206" i="2" s="1"/>
  <c r="Q206" i="2"/>
  <c r="M206" i="2"/>
  <c r="R205" i="2" a="1"/>
  <c r="R205" i="2" s="1"/>
  <c r="Q205" i="2"/>
  <c r="M205" i="2"/>
  <c r="R204" i="2" a="1"/>
  <c r="R204" i="2" s="1"/>
  <c r="Q204" i="2"/>
  <c r="M204" i="2"/>
  <c r="R203" i="2" a="1"/>
  <c r="R203" i="2" s="1"/>
  <c r="Q203" i="2"/>
  <c r="M203" i="2"/>
  <c r="R202" i="2" a="1"/>
  <c r="R202" i="2" s="1"/>
  <c r="Q202" i="2"/>
  <c r="M202" i="2"/>
  <c r="R201" i="2" a="1"/>
  <c r="R201" i="2" s="1"/>
  <c r="Q201" i="2"/>
  <c r="M201" i="2"/>
  <c r="R200" i="2" a="1"/>
  <c r="R200" i="2" s="1"/>
  <c r="Q200" i="2"/>
  <c r="M200" i="2"/>
  <c r="R199" i="2" a="1"/>
  <c r="R199" i="2" s="1"/>
  <c r="Q199" i="2"/>
  <c r="M199" i="2"/>
  <c r="R198" i="2" a="1"/>
  <c r="R198" i="2" s="1"/>
  <c r="Q198" i="2"/>
  <c r="M198" i="2"/>
  <c r="R197" i="2" a="1"/>
  <c r="R197" i="2" s="1"/>
  <c r="Q197" i="2"/>
  <c r="M197" i="2"/>
  <c r="R196" i="2" a="1"/>
  <c r="R196" i="2" s="1"/>
  <c r="Q196" i="2"/>
  <c r="M196" i="2"/>
  <c r="R195" i="2" a="1"/>
  <c r="R195" i="2" s="1"/>
  <c r="Q195" i="2"/>
  <c r="M195" i="2"/>
  <c r="R194" i="2" a="1"/>
  <c r="R194" i="2" s="1"/>
  <c r="Q194" i="2"/>
  <c r="M194" i="2"/>
  <c r="R193" i="2" a="1"/>
  <c r="R193" i="2" s="1"/>
  <c r="Q193" i="2"/>
  <c r="M193" i="2"/>
  <c r="R192" i="2" a="1"/>
  <c r="R192" i="2" s="1"/>
  <c r="Q192" i="2"/>
  <c r="M192" i="2"/>
  <c r="R191" i="2" a="1"/>
  <c r="R191" i="2" s="1"/>
  <c r="Q191" i="2"/>
  <c r="M191" i="2"/>
  <c r="R190" i="2" a="1"/>
  <c r="R190" i="2" s="1"/>
  <c r="Q190" i="2"/>
  <c r="M190" i="2"/>
  <c r="R189" i="2" a="1"/>
  <c r="R189" i="2" s="1"/>
  <c r="Q189" i="2"/>
  <c r="M189" i="2"/>
  <c r="R188" i="2" a="1"/>
  <c r="R188" i="2" s="1"/>
  <c r="Q188" i="2"/>
  <c r="M188" i="2"/>
  <c r="R187" i="2" a="1"/>
  <c r="R187" i="2" s="1"/>
  <c r="Q187" i="2"/>
  <c r="M187" i="2"/>
  <c r="R186" i="2" a="1"/>
  <c r="R186" i="2" s="1"/>
  <c r="Q186" i="2"/>
  <c r="M186" i="2"/>
  <c r="R185" i="2" a="1"/>
  <c r="R185" i="2" s="1"/>
  <c r="Q185" i="2"/>
  <c r="M185" i="2"/>
  <c r="R184" i="2" a="1"/>
  <c r="R184" i="2" s="1"/>
  <c r="Q184" i="2"/>
  <c r="M184" i="2"/>
  <c r="R183" i="2" a="1"/>
  <c r="R183" i="2" s="1"/>
  <c r="Q183" i="2"/>
  <c r="M183" i="2"/>
  <c r="R182" i="2" a="1"/>
  <c r="R182" i="2" s="1"/>
  <c r="Q182" i="2"/>
  <c r="M182" i="2"/>
  <c r="R181" i="2" a="1"/>
  <c r="R181" i="2" s="1"/>
  <c r="Q181" i="2"/>
  <c r="M181" i="2"/>
  <c r="R180" i="2" a="1"/>
  <c r="R180" i="2" s="1"/>
  <c r="Q180" i="2"/>
  <c r="M180" i="2"/>
  <c r="R179" i="2" a="1"/>
  <c r="R179" i="2" s="1"/>
  <c r="Q179" i="2"/>
  <c r="M179" i="2"/>
  <c r="R178" i="2" a="1"/>
  <c r="R178" i="2" s="1"/>
  <c r="Q178" i="2"/>
  <c r="M178" i="2"/>
  <c r="R177" i="2" a="1"/>
  <c r="R177" i="2" s="1"/>
  <c r="Q177" i="2"/>
  <c r="M177" i="2"/>
  <c r="R176" i="2" a="1"/>
  <c r="R176" i="2" s="1"/>
  <c r="Q176" i="2"/>
  <c r="M176" i="2"/>
  <c r="R175" i="2" a="1"/>
  <c r="R175" i="2" s="1"/>
  <c r="Q175" i="2"/>
  <c r="M175" i="2"/>
  <c r="R174" i="2" a="1"/>
  <c r="R174" i="2" s="1"/>
  <c r="Q174" i="2"/>
  <c r="M174" i="2"/>
  <c r="R173" i="2" a="1"/>
  <c r="R173" i="2" s="1"/>
  <c r="Q173" i="2"/>
  <c r="M173" i="2"/>
  <c r="R172" i="2" a="1"/>
  <c r="R172" i="2" s="1"/>
  <c r="Q172" i="2"/>
  <c r="M172" i="2"/>
  <c r="R171" i="2" a="1"/>
  <c r="R171" i="2" s="1"/>
  <c r="Q171" i="2"/>
  <c r="M171" i="2"/>
  <c r="R170" i="2" a="1"/>
  <c r="R170" i="2" s="1"/>
  <c r="Q170" i="2"/>
  <c r="M170" i="2"/>
  <c r="R169" i="2" a="1"/>
  <c r="R169" i="2" s="1"/>
  <c r="Q169" i="2"/>
  <c r="M169" i="2"/>
  <c r="R168" i="2" a="1"/>
  <c r="R168" i="2" s="1"/>
  <c r="Q168" i="2"/>
  <c r="M168" i="2"/>
  <c r="R167" i="2" a="1"/>
  <c r="R167" i="2" s="1"/>
  <c r="Q167" i="2"/>
  <c r="M167" i="2"/>
  <c r="R166" i="2" a="1"/>
  <c r="R166" i="2" s="1"/>
  <c r="Q166" i="2"/>
  <c r="M166" i="2"/>
  <c r="R165" i="2" a="1"/>
  <c r="R165" i="2" s="1"/>
  <c r="Q165" i="2"/>
  <c r="M165" i="2"/>
  <c r="R164" i="2" a="1"/>
  <c r="R164" i="2" s="1"/>
  <c r="Q164" i="2"/>
  <c r="M164" i="2"/>
  <c r="R163" i="2" a="1"/>
  <c r="R163" i="2" s="1"/>
  <c r="Q163" i="2"/>
  <c r="M163" i="2"/>
  <c r="R162" i="2" a="1"/>
  <c r="R162" i="2" s="1"/>
  <c r="Q162" i="2"/>
  <c r="M162" i="2"/>
  <c r="R161" i="2" a="1"/>
  <c r="R161" i="2" s="1"/>
  <c r="Q161" i="2"/>
  <c r="M161" i="2"/>
  <c r="R160" i="2" a="1"/>
  <c r="R160" i="2" s="1"/>
  <c r="Q160" i="2"/>
  <c r="M160" i="2"/>
  <c r="R159" i="2" a="1"/>
  <c r="R159" i="2" s="1"/>
  <c r="Q159" i="2"/>
  <c r="M159" i="2"/>
  <c r="R158" i="2" a="1"/>
  <c r="R158" i="2" s="1"/>
  <c r="Q158" i="2"/>
  <c r="M158" i="2"/>
  <c r="R157" i="2" a="1"/>
  <c r="R157" i="2" s="1"/>
  <c r="Q157" i="2"/>
  <c r="M157" i="2"/>
  <c r="R156" i="2" a="1"/>
  <c r="R156" i="2" s="1"/>
  <c r="Q156" i="2"/>
  <c r="M156" i="2"/>
  <c r="R155" i="2" a="1"/>
  <c r="R155" i="2" s="1"/>
  <c r="Q155" i="2"/>
  <c r="M155" i="2"/>
  <c r="R154" i="2" a="1"/>
  <c r="R154" i="2" s="1"/>
  <c r="Q154" i="2"/>
  <c r="M154" i="2"/>
  <c r="R153" i="2" a="1"/>
  <c r="R153" i="2" s="1"/>
  <c r="Q153" i="2"/>
  <c r="M153" i="2"/>
  <c r="R152" i="2" a="1"/>
  <c r="R152" i="2" s="1"/>
  <c r="Q152" i="2"/>
  <c r="M152" i="2"/>
  <c r="R151" i="2" a="1"/>
  <c r="R151" i="2" s="1"/>
  <c r="Q151" i="2"/>
  <c r="M151" i="2"/>
  <c r="R150" i="2" a="1"/>
  <c r="R150" i="2" s="1"/>
  <c r="Q150" i="2"/>
  <c r="M150" i="2"/>
  <c r="R149" i="2" a="1"/>
  <c r="R149" i="2" s="1"/>
  <c r="Q149" i="2"/>
  <c r="M149" i="2"/>
  <c r="R148" i="2" a="1"/>
  <c r="R148" i="2" s="1"/>
  <c r="Q148" i="2"/>
  <c r="M148" i="2"/>
  <c r="R147" i="2" a="1"/>
  <c r="R147" i="2" s="1"/>
  <c r="Q147" i="2"/>
  <c r="M147" i="2"/>
  <c r="R146" i="2" a="1"/>
  <c r="R146" i="2" s="1"/>
  <c r="Q146" i="2"/>
  <c r="M146" i="2"/>
  <c r="R145" i="2" a="1"/>
  <c r="R145" i="2" s="1"/>
  <c r="Q145" i="2"/>
  <c r="M145" i="2"/>
  <c r="R144" i="2" a="1"/>
  <c r="R144" i="2" s="1"/>
  <c r="Q144" i="2"/>
  <c r="M144" i="2"/>
  <c r="R143" i="2" a="1"/>
  <c r="R143" i="2" s="1"/>
  <c r="Q143" i="2"/>
  <c r="M143" i="2"/>
  <c r="R142" i="2" a="1"/>
  <c r="R142" i="2" s="1"/>
  <c r="Q142" i="2"/>
  <c r="M142" i="2"/>
  <c r="R141" i="2" a="1"/>
  <c r="R141" i="2" s="1"/>
  <c r="Q141" i="2"/>
  <c r="M141" i="2"/>
  <c r="R140" i="2" a="1"/>
  <c r="R140" i="2" s="1"/>
  <c r="Q140" i="2"/>
  <c r="M140" i="2"/>
  <c r="R139" i="2" a="1"/>
  <c r="R139" i="2" s="1"/>
  <c r="Q139" i="2"/>
  <c r="M139" i="2"/>
  <c r="R138" i="2" a="1"/>
  <c r="R138" i="2" s="1"/>
  <c r="Q138" i="2"/>
  <c r="M138" i="2"/>
  <c r="R137" i="2" a="1"/>
  <c r="R137" i="2" s="1"/>
  <c r="Q137" i="2"/>
  <c r="M137" i="2"/>
  <c r="R136" i="2" a="1"/>
  <c r="R136" i="2" s="1"/>
  <c r="Q136" i="2"/>
  <c r="M136" i="2"/>
  <c r="R135" i="2" a="1"/>
  <c r="R135" i="2" s="1"/>
  <c r="Q135" i="2"/>
  <c r="M135" i="2"/>
  <c r="R134" i="2" a="1"/>
  <c r="R134" i="2" s="1"/>
  <c r="Q134" i="2"/>
  <c r="M134" i="2"/>
  <c r="R133" i="2" a="1"/>
  <c r="R133" i="2" s="1"/>
  <c r="Q133" i="2"/>
  <c r="M133" i="2"/>
  <c r="R132" i="2" a="1"/>
  <c r="R132" i="2" s="1"/>
  <c r="Q132" i="2"/>
  <c r="M132" i="2"/>
  <c r="R131" i="2" a="1"/>
  <c r="R131" i="2" s="1"/>
  <c r="Q131" i="2"/>
  <c r="M131" i="2"/>
  <c r="R130" i="2" a="1"/>
  <c r="R130" i="2" s="1"/>
  <c r="Q130" i="2"/>
  <c r="M130" i="2"/>
  <c r="R129" i="2" a="1"/>
  <c r="R129" i="2" s="1"/>
  <c r="Q129" i="2"/>
  <c r="M129" i="2"/>
  <c r="R128" i="2" a="1"/>
  <c r="R128" i="2" s="1"/>
  <c r="Q128" i="2"/>
  <c r="M128" i="2"/>
  <c r="R127" i="2" a="1"/>
  <c r="R127" i="2" s="1"/>
  <c r="Q127" i="2"/>
  <c r="M127" i="2"/>
  <c r="R126" i="2" a="1"/>
  <c r="R126" i="2" s="1"/>
  <c r="Q126" i="2"/>
  <c r="M126" i="2"/>
  <c r="R125" i="2" a="1"/>
  <c r="R125" i="2" s="1"/>
  <c r="Q125" i="2"/>
  <c r="M125" i="2"/>
  <c r="R124" i="2" a="1"/>
  <c r="R124" i="2" s="1"/>
  <c r="Q124" i="2"/>
  <c r="M124" i="2"/>
  <c r="R123" i="2" a="1"/>
  <c r="R123" i="2" s="1"/>
  <c r="Q123" i="2"/>
  <c r="M123" i="2"/>
  <c r="R122" i="2" a="1"/>
  <c r="R122" i="2" s="1"/>
  <c r="Q122" i="2"/>
  <c r="M122" i="2"/>
  <c r="R121" i="2" a="1"/>
  <c r="R121" i="2" s="1"/>
  <c r="Q121" i="2"/>
  <c r="M121" i="2"/>
  <c r="R120" i="2" a="1"/>
  <c r="R120" i="2" s="1"/>
  <c r="Q120" i="2"/>
  <c r="M120" i="2"/>
  <c r="R119" i="2" a="1"/>
  <c r="R119" i="2" s="1"/>
  <c r="Q119" i="2"/>
  <c r="M119" i="2"/>
  <c r="R118" i="2" a="1"/>
  <c r="R118" i="2" s="1"/>
  <c r="Q118" i="2"/>
  <c r="M118" i="2"/>
  <c r="R117" i="2" a="1"/>
  <c r="R117" i="2" s="1"/>
  <c r="Q117" i="2"/>
  <c r="M117" i="2"/>
  <c r="R116" i="2" a="1"/>
  <c r="R116" i="2" s="1"/>
  <c r="Q116" i="2"/>
  <c r="M116" i="2"/>
  <c r="R115" i="2" a="1"/>
  <c r="R115" i="2" s="1"/>
  <c r="Q115" i="2"/>
  <c r="M115" i="2"/>
  <c r="R114" i="2" a="1"/>
  <c r="R114" i="2" s="1"/>
  <c r="Q114" i="2"/>
  <c r="M114" i="2"/>
  <c r="R113" i="2" a="1"/>
  <c r="R113" i="2" s="1"/>
  <c r="Q113" i="2"/>
  <c r="M113" i="2"/>
  <c r="R112" i="2" a="1"/>
  <c r="R112" i="2" s="1"/>
  <c r="Q112" i="2"/>
  <c r="M112" i="2"/>
  <c r="R111" i="2" a="1"/>
  <c r="R111" i="2" s="1"/>
  <c r="Q111" i="2"/>
  <c r="M111" i="2"/>
  <c r="R110" i="2" a="1"/>
  <c r="R110" i="2" s="1"/>
  <c r="Q110" i="2"/>
  <c r="M110" i="2"/>
  <c r="R109" i="2" a="1"/>
  <c r="R109" i="2" s="1"/>
  <c r="Q109" i="2"/>
  <c r="M109" i="2"/>
  <c r="R108" i="2" a="1"/>
  <c r="R108" i="2" s="1"/>
  <c r="Q108" i="2"/>
  <c r="M108" i="2"/>
  <c r="R107" i="2" a="1"/>
  <c r="R107" i="2" s="1"/>
  <c r="Q107" i="2"/>
  <c r="M107" i="2"/>
  <c r="R106" i="2" a="1"/>
  <c r="R106" i="2" s="1"/>
  <c r="Q106" i="2"/>
  <c r="M106" i="2"/>
  <c r="R105" i="2" a="1"/>
  <c r="R105" i="2" s="1"/>
  <c r="Q105" i="2"/>
  <c r="M105" i="2"/>
  <c r="R104" i="2" a="1"/>
  <c r="R104" i="2" s="1"/>
  <c r="Q104" i="2"/>
  <c r="M104" i="2"/>
  <c r="R103" i="2" a="1"/>
  <c r="R103" i="2" s="1"/>
  <c r="Q103" i="2"/>
  <c r="M103" i="2"/>
  <c r="R102" i="2" a="1"/>
  <c r="R102" i="2" s="1"/>
  <c r="Q102" i="2"/>
  <c r="M102" i="2"/>
  <c r="R101" i="2" a="1"/>
  <c r="R101" i="2" s="1"/>
  <c r="Q101" i="2"/>
  <c r="M101" i="2"/>
  <c r="R100" i="2" a="1"/>
  <c r="R100" i="2" s="1"/>
  <c r="Q100" i="2"/>
  <c r="M100" i="2"/>
  <c r="R99" i="2" a="1"/>
  <c r="R99" i="2" s="1"/>
  <c r="Q99" i="2"/>
  <c r="M99" i="2"/>
  <c r="R98" i="2" a="1"/>
  <c r="R98" i="2" s="1"/>
  <c r="Q98" i="2"/>
  <c r="M98" i="2"/>
  <c r="R97" i="2" a="1"/>
  <c r="R97" i="2" s="1"/>
  <c r="Q97" i="2"/>
  <c r="M97" i="2"/>
  <c r="R96" i="2" a="1"/>
  <c r="R96" i="2" s="1"/>
  <c r="Q96" i="2"/>
  <c r="M96" i="2"/>
  <c r="R95" i="2" a="1"/>
  <c r="R95" i="2" s="1"/>
  <c r="Q95" i="2"/>
  <c r="M95" i="2"/>
  <c r="R94" i="2" a="1"/>
  <c r="R94" i="2" s="1"/>
  <c r="Q94" i="2"/>
  <c r="M94" i="2"/>
  <c r="R93" i="2" a="1"/>
  <c r="R93" i="2" s="1"/>
  <c r="Q93" i="2"/>
  <c r="M93" i="2"/>
  <c r="R92" i="2" a="1"/>
  <c r="R92" i="2" s="1"/>
  <c r="Q92" i="2"/>
  <c r="M92" i="2"/>
  <c r="R91" i="2" a="1"/>
  <c r="R91" i="2" s="1"/>
  <c r="Q91" i="2"/>
  <c r="M91" i="2"/>
  <c r="R90" i="2" a="1"/>
  <c r="R90" i="2" s="1"/>
  <c r="Q90" i="2"/>
  <c r="M90" i="2"/>
  <c r="R89" i="2" a="1"/>
  <c r="R89" i="2" s="1"/>
  <c r="Q89" i="2"/>
  <c r="M89" i="2"/>
  <c r="R88" i="2" a="1"/>
  <c r="R88" i="2" s="1"/>
  <c r="Q88" i="2"/>
  <c r="M88" i="2"/>
  <c r="R87" i="2" a="1"/>
  <c r="R87" i="2" s="1"/>
  <c r="Q87" i="2"/>
  <c r="M87" i="2"/>
  <c r="R86" i="2" a="1"/>
  <c r="R86" i="2" s="1"/>
  <c r="Q86" i="2"/>
  <c r="M86" i="2"/>
  <c r="R85" i="2" a="1"/>
  <c r="R85" i="2" s="1"/>
  <c r="Q85" i="2"/>
  <c r="M85" i="2"/>
  <c r="R84" i="2" a="1"/>
  <c r="R84" i="2" s="1"/>
  <c r="Q84" i="2"/>
  <c r="M84" i="2"/>
  <c r="R83" i="2" a="1"/>
  <c r="R83" i="2" s="1"/>
  <c r="Q83" i="2"/>
  <c r="M83" i="2"/>
  <c r="R82" i="2" a="1"/>
  <c r="R82" i="2" s="1"/>
  <c r="Q82" i="2"/>
  <c r="M82" i="2"/>
  <c r="R81" i="2" a="1"/>
  <c r="R81" i="2" s="1"/>
  <c r="Q81" i="2"/>
  <c r="M81" i="2"/>
  <c r="R80" i="2" a="1"/>
  <c r="R80" i="2" s="1"/>
  <c r="Q80" i="2"/>
  <c r="M80" i="2"/>
  <c r="R79" i="2" a="1"/>
  <c r="R79" i="2" s="1"/>
  <c r="Q79" i="2"/>
  <c r="M79" i="2"/>
  <c r="R78" i="2" a="1"/>
  <c r="R78" i="2" s="1"/>
  <c r="Q78" i="2"/>
  <c r="M78" i="2"/>
  <c r="R77" i="2" a="1"/>
  <c r="R77" i="2" s="1"/>
  <c r="Q77" i="2"/>
  <c r="M77" i="2"/>
  <c r="R76" i="2" a="1"/>
  <c r="R76" i="2" s="1"/>
  <c r="Q76" i="2"/>
  <c r="M76" i="2"/>
  <c r="R75" i="2" a="1"/>
  <c r="R75" i="2" s="1"/>
  <c r="Q75" i="2"/>
  <c r="M75" i="2"/>
  <c r="R74" i="2" a="1"/>
  <c r="R74" i="2" s="1"/>
  <c r="Q74" i="2"/>
  <c r="M74" i="2"/>
  <c r="R73" i="2" a="1"/>
  <c r="R73" i="2" s="1"/>
  <c r="Q73" i="2"/>
  <c r="M73" i="2"/>
  <c r="R72" i="2" a="1"/>
  <c r="R72" i="2" s="1"/>
  <c r="Q72" i="2"/>
  <c r="M72" i="2"/>
  <c r="R71" i="2" a="1"/>
  <c r="R71" i="2" s="1"/>
  <c r="Q71" i="2"/>
  <c r="M71" i="2"/>
  <c r="R70" i="2" a="1"/>
  <c r="R70" i="2" s="1"/>
  <c r="Q70" i="2"/>
  <c r="M70" i="2"/>
  <c r="R69" i="2" a="1"/>
  <c r="R69" i="2" s="1"/>
  <c r="Q69" i="2"/>
  <c r="M69" i="2"/>
  <c r="R68" i="2" a="1"/>
  <c r="R68" i="2" s="1"/>
  <c r="Q68" i="2"/>
  <c r="M68" i="2"/>
  <c r="R67" i="2" a="1"/>
  <c r="R67" i="2" s="1"/>
  <c r="Q67" i="2"/>
  <c r="M67" i="2"/>
  <c r="R66" i="2" a="1"/>
  <c r="R66" i="2" s="1"/>
  <c r="Q66" i="2"/>
  <c r="M66" i="2"/>
  <c r="R65" i="2" a="1"/>
  <c r="R65" i="2" s="1"/>
  <c r="Q65" i="2"/>
  <c r="M65" i="2"/>
  <c r="R64" i="2" a="1"/>
  <c r="R64" i="2" s="1"/>
  <c r="Q64" i="2"/>
  <c r="M64" i="2"/>
  <c r="R63" i="2" a="1"/>
  <c r="R63" i="2" s="1"/>
  <c r="Q63" i="2"/>
  <c r="M63" i="2"/>
  <c r="R62" i="2" a="1"/>
  <c r="R62" i="2" s="1"/>
  <c r="Q62" i="2"/>
  <c r="M62" i="2"/>
  <c r="R61" i="2" a="1"/>
  <c r="R61" i="2" s="1"/>
  <c r="Q61" i="2"/>
  <c r="M61" i="2"/>
  <c r="R60" i="2" a="1"/>
  <c r="R60" i="2" s="1"/>
  <c r="Q60" i="2"/>
  <c r="M60" i="2"/>
  <c r="R59" i="2" a="1"/>
  <c r="R59" i="2" s="1"/>
  <c r="Q59" i="2"/>
  <c r="M59" i="2"/>
  <c r="R58" i="2" a="1"/>
  <c r="R58" i="2" s="1"/>
  <c r="Q58" i="2"/>
  <c r="M58" i="2"/>
  <c r="R57" i="2" a="1"/>
  <c r="R57" i="2" s="1"/>
  <c r="Q57" i="2"/>
  <c r="M57" i="2"/>
  <c r="R56" i="2" a="1"/>
  <c r="R56" i="2" s="1"/>
  <c r="Q56" i="2"/>
  <c r="M56" i="2"/>
  <c r="R55" i="2" a="1"/>
  <c r="R55" i="2" s="1"/>
  <c r="Q55" i="2"/>
  <c r="M55" i="2"/>
  <c r="R54" i="2" a="1"/>
  <c r="R54" i="2" s="1"/>
  <c r="Q54" i="2"/>
  <c r="M54" i="2"/>
  <c r="R53" i="2" a="1"/>
  <c r="R53" i="2" s="1"/>
  <c r="Q53" i="2"/>
  <c r="M53" i="2"/>
  <c r="R52" i="2" a="1"/>
  <c r="R52" i="2" s="1"/>
  <c r="Q52" i="2"/>
  <c r="M52" i="2"/>
  <c r="R51" i="2" a="1"/>
  <c r="R51" i="2" s="1"/>
  <c r="Q51" i="2"/>
  <c r="M51" i="2"/>
  <c r="R50" i="2" a="1"/>
  <c r="R50" i="2" s="1"/>
  <c r="Q50" i="2"/>
  <c r="M50" i="2"/>
  <c r="R49" i="2" a="1"/>
  <c r="R49" i="2" s="1"/>
  <c r="Q49" i="2"/>
  <c r="M49" i="2"/>
  <c r="R48" i="2" a="1"/>
  <c r="R48" i="2" s="1"/>
  <c r="Q48" i="2"/>
  <c r="M48" i="2"/>
  <c r="R47" i="2" a="1"/>
  <c r="R47" i="2" s="1"/>
  <c r="Q47" i="2"/>
  <c r="M47" i="2"/>
  <c r="R46" i="2" a="1"/>
  <c r="R46" i="2" s="1"/>
  <c r="Q46" i="2"/>
  <c r="M46" i="2"/>
  <c r="R45" i="2" a="1"/>
  <c r="R45" i="2" s="1"/>
  <c r="Q45" i="2"/>
  <c r="M45" i="2"/>
  <c r="R44" i="2" a="1"/>
  <c r="R44" i="2" s="1"/>
  <c r="Q44" i="2"/>
  <c r="M44" i="2"/>
  <c r="R43" i="2" a="1"/>
  <c r="R43" i="2" s="1"/>
  <c r="Q43" i="2"/>
  <c r="M43" i="2"/>
  <c r="R42" i="2" a="1"/>
  <c r="R42" i="2" s="1"/>
  <c r="Q42" i="2"/>
  <c r="M42" i="2"/>
  <c r="R41" i="2" a="1"/>
  <c r="R41" i="2" s="1"/>
  <c r="Q41" i="2"/>
  <c r="M41" i="2"/>
  <c r="R40" i="2" a="1"/>
  <c r="R40" i="2" s="1"/>
  <c r="Q40" i="2"/>
  <c r="M40" i="2"/>
  <c r="R39" i="2" a="1"/>
  <c r="R39" i="2" s="1"/>
  <c r="Q39" i="2"/>
  <c r="M39" i="2"/>
  <c r="R38" i="2" a="1"/>
  <c r="R38" i="2" s="1"/>
  <c r="Q38" i="2"/>
  <c r="M38" i="2"/>
  <c r="R37" i="2" a="1"/>
  <c r="R37" i="2" s="1"/>
  <c r="Q37" i="2"/>
  <c r="M37" i="2"/>
  <c r="R36" i="2" a="1"/>
  <c r="R36" i="2" s="1"/>
  <c r="Q36" i="2"/>
  <c r="M36" i="2"/>
  <c r="R35" i="2" a="1"/>
  <c r="R35" i="2" s="1"/>
  <c r="Q35" i="2"/>
  <c r="M35" i="2"/>
  <c r="R34" i="2" a="1"/>
  <c r="R34" i="2" s="1"/>
  <c r="Q34" i="2"/>
  <c r="M34" i="2"/>
  <c r="R33" i="2" a="1"/>
  <c r="R33" i="2" s="1"/>
  <c r="Q33" i="2"/>
  <c r="M33" i="2"/>
  <c r="R32" i="2" a="1"/>
  <c r="R32" i="2" s="1"/>
  <c r="Q32" i="2"/>
  <c r="M32" i="2"/>
  <c r="R31" i="2" a="1"/>
  <c r="R31" i="2" s="1"/>
  <c r="Q31" i="2"/>
  <c r="M31" i="2"/>
  <c r="R30" i="2" a="1"/>
  <c r="R30" i="2" s="1"/>
  <c r="Q30" i="2"/>
  <c r="M30" i="2"/>
  <c r="R29" i="2" a="1"/>
  <c r="R29" i="2" s="1"/>
  <c r="Q29" i="2"/>
  <c r="M29" i="2"/>
  <c r="R28" i="2" a="1"/>
  <c r="R28" i="2" s="1"/>
  <c r="Q28" i="2"/>
  <c r="M28" i="2"/>
  <c r="R27" i="2" a="1"/>
  <c r="R27" i="2" s="1"/>
  <c r="Q27" i="2"/>
  <c r="M27" i="2"/>
  <c r="R26" i="2" a="1"/>
  <c r="R26" i="2" s="1"/>
  <c r="Q26" i="2"/>
  <c r="M26" i="2"/>
  <c r="R25" i="2" a="1"/>
  <c r="R25" i="2" s="1"/>
  <c r="Q25" i="2"/>
  <c r="M25" i="2"/>
  <c r="R24" i="2" a="1"/>
  <c r="R24" i="2" s="1"/>
  <c r="Q24" i="2"/>
  <c r="M24" i="2"/>
  <c r="R23" i="2" a="1"/>
  <c r="R23" i="2" s="1"/>
  <c r="Q23" i="2"/>
  <c r="M23" i="2"/>
  <c r="R22" i="2" a="1"/>
  <c r="R22" i="2" s="1"/>
  <c r="Q22" i="2"/>
  <c r="M22" i="2"/>
  <c r="R21" i="2" a="1"/>
  <c r="R21" i="2" s="1"/>
  <c r="Q21" i="2"/>
  <c r="M21" i="2"/>
  <c r="R20" i="2" a="1"/>
  <c r="R20" i="2" s="1"/>
  <c r="Q20" i="2"/>
  <c r="M20" i="2"/>
  <c r="R19" i="2" a="1"/>
  <c r="R19" i="2" s="1"/>
  <c r="Q19" i="2"/>
  <c r="M19" i="2"/>
  <c r="R18" i="2" a="1"/>
  <c r="R18" i="2" s="1"/>
  <c r="Q18" i="2"/>
  <c r="M18" i="2"/>
  <c r="R17" i="2" a="1"/>
  <c r="R17" i="2" s="1"/>
  <c r="Q17" i="2"/>
  <c r="M17" i="2"/>
  <c r="R16" i="2" a="1"/>
  <c r="R16" i="2" s="1"/>
  <c r="Q16" i="2"/>
  <c r="M16" i="2"/>
  <c r="R15" i="2" a="1"/>
  <c r="R15" i="2" s="1"/>
  <c r="Q15" i="2"/>
  <c r="M15" i="2"/>
  <c r="R14" i="2" a="1"/>
  <c r="R14" i="2" s="1"/>
  <c r="Q14" i="2"/>
  <c r="M14" i="2"/>
  <c r="R13" i="2" a="1"/>
  <c r="R13" i="2" s="1"/>
  <c r="Q13" i="2"/>
  <c r="M13" i="2"/>
  <c r="R12" i="2" a="1"/>
  <c r="R12" i="2" s="1"/>
  <c r="Q12" i="2"/>
  <c r="M12" i="2"/>
  <c r="R11" i="2" a="1"/>
  <c r="R11" i="2" s="1"/>
  <c r="Q11" i="2"/>
  <c r="M11" i="2"/>
  <c r="R10" i="2" a="1"/>
  <c r="R10" i="2" s="1"/>
  <c r="Q10" i="2"/>
  <c r="M10" i="2"/>
  <c r="R9" i="2" a="1"/>
  <c r="R9" i="2" s="1"/>
  <c r="Q9" i="2"/>
  <c r="M9" i="2"/>
  <c r="R8" i="2" a="1"/>
  <c r="R8" i="2" s="1"/>
  <c r="Q8" i="2"/>
  <c r="M8" i="2"/>
  <c r="R7" i="2" a="1"/>
  <c r="R7" i="2" s="1"/>
  <c r="Q7" i="2"/>
  <c r="M7" i="2"/>
  <c r="R6" i="2" a="1"/>
  <c r="R6" i="2" s="1"/>
  <c r="Q6" i="2"/>
  <c r="M6" i="2"/>
  <c r="R5" i="2" a="1"/>
  <c r="R5" i="2" s="1"/>
  <c r="Q5" i="2"/>
  <c r="M5" i="2"/>
  <c r="R4" i="2" a="1"/>
  <c r="R4" i="2" s="1"/>
  <c r="Q4" i="2"/>
  <c r="M4" i="2"/>
  <c r="R3" i="2" a="1"/>
  <c r="R3" i="2" s="1"/>
  <c r="Q3" i="2"/>
  <c r="M3" i="2"/>
  <c r="M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1F180D-B73D-451C-BFCF-A1F3F1367203}" keepAlive="1" name="Query - retail_store_performance_dashboard_raw_data" description="Connection to the 'retail_store_performance_dashboard_raw_data' query in the workbook." type="5" refreshedVersion="8" background="1" saveData="1">
    <dbPr connection="Provider=Microsoft.Mashup.OleDb.1;Data Source=$Workbook$;Location=retail_store_performance_dashboard_raw_data;Extended Properties=&quot;&quot;" command="SELECT * FROM [retail_store_performance_dashboard_raw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<sst xmlns="http://schemas.openxmlformats.org/spreadsheetml/2006/main" count="5106" uniqueCount="618">
  <si>
    <t>Order_ID</t>
  </si>
  <si>
    <t>Order_Date</t>
  </si>
  <si>
    <t>Store_Name</t>
  </si>
  <si>
    <t>City</t>
  </si>
  <si>
    <t>State</t>
  </si>
  <si>
    <t>Region</t>
  </si>
  <si>
    <t>Store_Manager</t>
  </si>
  <si>
    <t>Category</t>
  </si>
  <si>
    <t>Product_Name</t>
  </si>
  <si>
    <t>Quantity</t>
  </si>
  <si>
    <t>Unit_Price</t>
  </si>
  <si>
    <t>Discount_Percent</t>
  </si>
  <si>
    <t>Sales</t>
  </si>
  <si>
    <t>Cost</t>
  </si>
  <si>
    <t>Profit</t>
  </si>
  <si>
    <t>Payment_Method</t>
  </si>
  <si>
    <t>Order_Status</t>
  </si>
  <si>
    <t>Customer_Rating</t>
  </si>
  <si>
    <t>ORD00001</t>
  </si>
  <si>
    <t>Chennai T Nagar</t>
  </si>
  <si>
    <t>Chennai</t>
  </si>
  <si>
    <t>Tamil Nadu</t>
  </si>
  <si>
    <t>South</t>
  </si>
  <si>
    <t>Karthik Iyer</t>
  </si>
  <si>
    <t>Beauty</t>
  </si>
  <si>
    <t>Face Wash</t>
  </si>
  <si>
    <t>Net Banking</t>
  </si>
  <si>
    <t>Returned</t>
  </si>
  <si>
    <t>ORD00002</t>
  </si>
  <si>
    <t>Lucknow Hazratganj</t>
  </si>
  <si>
    <t>Lucknow</t>
  </si>
  <si>
    <t>Uttar Pradesh</t>
  </si>
  <si>
    <t>North</t>
  </si>
  <si>
    <t>Sanjay Singh</t>
  </si>
  <si>
    <t>Perfume</t>
  </si>
  <si>
    <t>Credit Card</t>
  </si>
  <si>
    <t>Completed</t>
  </si>
  <si>
    <t>ORD00003</t>
  </si>
  <si>
    <t>Delhi Connaught</t>
  </si>
  <si>
    <t>Delhi</t>
  </si>
  <si>
    <t>Amit Verma</t>
  </si>
  <si>
    <t>Electronics</t>
  </si>
  <si>
    <t>Smartwatch</t>
  </si>
  <si>
    <t>Cash</t>
  </si>
  <si>
    <t>ORD00004</t>
  </si>
  <si>
    <t>Clothing</t>
  </si>
  <si>
    <t>Jacket</t>
  </si>
  <si>
    <t>ORD00005</t>
  </si>
  <si>
    <t>Grocery</t>
  </si>
  <si>
    <t>Tea 500g</t>
  </si>
  <si>
    <t>ORD00006</t>
  </si>
  <si>
    <t>Jaipur Central</t>
  </si>
  <si>
    <t>Jaipur</t>
  </si>
  <si>
    <t>Rajasthan</t>
  </si>
  <si>
    <t>West</t>
  </si>
  <si>
    <t>Rajesh Sharma</t>
  </si>
  <si>
    <t>Biscuits Pack</t>
  </si>
  <si>
    <t>ORD00007</t>
  </si>
  <si>
    <t>Home &amp; Kitchen</t>
  </si>
  <si>
    <t>Coffee Maker</t>
  </si>
  <si>
    <t>ORD00008</t>
  </si>
  <si>
    <t>Hyderabad Banjara</t>
  </si>
  <si>
    <t>Hyderabad</t>
  </si>
  <si>
    <t>Telangana</t>
  </si>
  <si>
    <t>Anjali Reddy</t>
  </si>
  <si>
    <t>ORD00009</t>
  </si>
  <si>
    <t>Moisturizer</t>
  </si>
  <si>
    <t>UPI</t>
  </si>
  <si>
    <t>ORD00010</t>
  </si>
  <si>
    <t>Water Bottle</t>
  </si>
  <si>
    <t>Debit Card</t>
  </si>
  <si>
    <t>ORD00011</t>
  </si>
  <si>
    <t>Mixer Grinder</t>
  </si>
  <si>
    <t>ORD00012</t>
  </si>
  <si>
    <t>ORD00013</t>
  </si>
  <si>
    <t>Shampoo</t>
  </si>
  <si>
    <t>ORD00014</t>
  </si>
  <si>
    <t>Kolkata Park Street</t>
  </si>
  <si>
    <t>Kolkata</t>
  </si>
  <si>
    <t>West Bengal</t>
  </si>
  <si>
    <t>East</t>
  </si>
  <si>
    <t>Priya Sen</t>
  </si>
  <si>
    <t>Dinner Set</t>
  </si>
  <si>
    <t>Cancelled</t>
  </si>
  <si>
    <t>ORD00015</t>
  </si>
  <si>
    <t>ORD00016</t>
  </si>
  <si>
    <t>ORD00017</t>
  </si>
  <si>
    <t>ORD00018</t>
  </si>
  <si>
    <t>T-Shirt</t>
  </si>
  <si>
    <t>ORD00019</t>
  </si>
  <si>
    <t>ORD00020</t>
  </si>
  <si>
    <t>ORD00021</t>
  </si>
  <si>
    <t>Laptop</t>
  </si>
  <si>
    <t>ORD00022</t>
  </si>
  <si>
    <t>ORD00023</t>
  </si>
  <si>
    <t>ORD00024</t>
  </si>
  <si>
    <t>ORD00025</t>
  </si>
  <si>
    <t>Mumbai Andheri</t>
  </si>
  <si>
    <t>Mumbai</t>
  </si>
  <si>
    <t>Maharashtra</t>
  </si>
  <si>
    <t>Neha Kapoor</t>
  </si>
  <si>
    <t>Jeans</t>
  </si>
  <si>
    <t>ORD00026</t>
  </si>
  <si>
    <t>ORD00027</t>
  </si>
  <si>
    <t>ORD00028</t>
  </si>
  <si>
    <t>ORD00029</t>
  </si>
  <si>
    <t>Smartphone</t>
  </si>
  <si>
    <t>ORD00030</t>
  </si>
  <si>
    <t>ORD00031</t>
  </si>
  <si>
    <t>Rice 5kg</t>
  </si>
  <si>
    <t>ORD00032</t>
  </si>
  <si>
    <t>ORD00033</t>
  </si>
  <si>
    <t>ORD00034</t>
  </si>
  <si>
    <t>Cooking Oil 1L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</si>
  <si>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</si>
  <si>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</si>
  <si>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</si>
  <si>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</si>
  <si>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</si>
  <si>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</si>
  <si>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</si>
  <si>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</si>
  <si>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</si>
  <si>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</si>
  <si>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Sneakers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</si>
  <si>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</si>
  <si>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</si>
  <si>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</si>
  <si>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</si>
  <si>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</si>
  <si>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</si>
  <si>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</si>
  <si>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</si>
  <si>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</si>
  <si>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</si>
  <si>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Headphones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</si>
  <si>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</si>
  <si>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</si>
  <si>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</si>
  <si>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</si>
  <si>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</si>
  <si>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</si>
  <si>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</si>
  <si>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</si>
  <si>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</si>
  <si>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</si>
  <si>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Bengaluru MG Road</t>
  </si>
  <si>
    <t>Bengaluru</t>
  </si>
  <si>
    <t>Karnataka</t>
  </si>
  <si>
    <t>Vikram Rao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</si>
  <si>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</si>
  <si>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</si>
  <si>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</si>
  <si>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</si>
  <si>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</si>
  <si>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</si>
  <si>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</si>
  <si>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</si>
  <si>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</si>
  <si>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</si>
  <si>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</si>
  <si>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</si>
  <si>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</si>
  <si>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</si>
  <si>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</si>
  <si>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</si>
  <si>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</si>
  <si>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</si>
  <si>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</si>
  <si>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</si>
  <si>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</si>
  <si>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</si>
  <si>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</si>
  <si>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</si>
  <si>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</si>
  <si>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</si>
  <si>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</si>
  <si>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</si>
  <si>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</si>
  <si>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</si>
  <si>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</si>
  <si>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</si>
  <si>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</si>
  <si>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</si>
  <si>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</si>
  <si>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</si>
  <si>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</si>
  <si>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</si>
  <si>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</si>
  <si>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</si>
  <si>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</si>
  <si>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</si>
  <si>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</si>
  <si>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</si>
  <si>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</si>
  <si>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</si>
  <si>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</si>
  <si>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</si>
  <si>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</si>
  <si>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</si>
  <si>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</si>
  <si>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</si>
  <si>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</si>
  <si>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</si>
  <si>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</si>
  <si>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</si>
  <si>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</si>
  <si>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</si>
  <si>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</si>
  <si>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</si>
  <si>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</si>
  <si>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</si>
  <si>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</si>
  <si>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</si>
  <si>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</si>
  <si>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</si>
  <si>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</si>
  <si>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</si>
  <si>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</si>
  <si>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</si>
  <si>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</si>
  <si>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</si>
  <si>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</si>
  <si>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</si>
  <si>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</si>
  <si>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</si>
  <si>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</si>
  <si>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</si>
  <si>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</si>
  <si>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</si>
  <si>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</si>
  <si>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</si>
  <si>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</si>
  <si>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</si>
  <si>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</si>
  <si>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</si>
  <si>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</si>
  <si>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</si>
  <si>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</si>
  <si>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</si>
  <si>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</si>
  <si>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</si>
  <si>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</si>
  <si>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</si>
  <si>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</si>
  <si>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</si>
  <si>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</si>
  <si>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</si>
  <si>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</si>
  <si>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</si>
  <si>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</si>
  <si>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</si>
  <si>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</si>
  <si>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</si>
  <si>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</si>
  <si>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</si>
  <si>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</si>
  <si>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</si>
  <si>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</si>
  <si>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</si>
  <si>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</si>
  <si>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</si>
  <si>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</si>
  <si>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</si>
  <si>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</si>
  <si>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</si>
  <si>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</si>
  <si>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</si>
  <si>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</si>
  <si>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</si>
  <si>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</si>
  <si>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</si>
  <si>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</si>
  <si>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</si>
  <si>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</si>
  <si>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</si>
  <si>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</si>
  <si>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</si>
  <si>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</si>
  <si>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</si>
  <si>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</si>
  <si>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</si>
  <si>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</si>
  <si>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</si>
  <si>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</si>
  <si>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</si>
  <si>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</si>
  <si>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</si>
  <si>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</si>
  <si>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</si>
  <si>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</si>
  <si>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</si>
  <si>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</si>
  <si>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</si>
  <si>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</si>
  <si>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</si>
  <si>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</si>
  <si>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</si>
  <si>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</si>
  <si>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</si>
  <si>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</si>
  <si>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</si>
  <si>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</si>
  <si>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</si>
  <si>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</si>
  <si>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</si>
  <si>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</si>
  <si>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</si>
  <si>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</si>
  <si>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</si>
  <si>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</si>
  <si>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</si>
  <si>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</si>
  <si>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</si>
  <si>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</si>
  <si>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</si>
  <si>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</si>
  <si>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</si>
  <si>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</si>
  <si>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</si>
  <si>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</si>
  <si>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</si>
  <si>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</si>
  <si>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</si>
  <si>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</si>
  <si>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</si>
  <si>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</si>
  <si>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</si>
  <si>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</si>
  <si>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</si>
  <si>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</si>
  <si>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</si>
  <si>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</si>
  <si>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</si>
  <si>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</si>
  <si>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</si>
  <si>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</si>
  <si>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</si>
  <si>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</si>
  <si>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</si>
  <si>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</si>
  <si>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</si>
  <si>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</si>
  <si>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</si>
  <si>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</si>
  <si>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</si>
  <si>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</si>
  <si>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</si>
  <si>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</si>
  <si>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</si>
  <si>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</si>
  <si>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</si>
  <si>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</si>
  <si>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</si>
  <si>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</si>
  <si>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</si>
  <si>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</si>
  <si>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</si>
  <si>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</si>
  <si>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</si>
  <si>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</si>
  <si>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</si>
  <si>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</si>
  <si>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</si>
  <si>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</si>
  <si>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</si>
  <si>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</si>
  <si>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</si>
  <si>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</si>
  <si>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</si>
  <si>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</si>
  <si>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</si>
  <si>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</si>
  <si>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</si>
  <si>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</si>
  <si>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</si>
  <si>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</si>
  <si>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</si>
  <si>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</si>
  <si>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</si>
  <si>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</si>
  <si>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</si>
  <si>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</si>
  <si>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</si>
  <si>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</si>
  <si>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</si>
  <si>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</si>
  <si>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</si>
  <si>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</si>
  <si>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</si>
  <si>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</si>
  <si>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</si>
  <si>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</si>
  <si>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</si>
  <si>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</si>
  <si>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</si>
  <si>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</si>
  <si>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</si>
  <si>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</si>
  <si>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</si>
  <si>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</si>
  <si>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</si>
  <si>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</si>
  <si>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</si>
  <si>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</si>
  <si>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</si>
  <si>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</si>
  <si>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</si>
  <si>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</si>
  <si>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</si>
  <si>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</si>
  <si>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</si>
  <si>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</si>
  <si>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</si>
  <si>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</si>
  <si>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</si>
  <si>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</si>
  <si>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</si>
  <si>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</si>
  <si>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</si>
  <si>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</si>
  <si>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</si>
  <si>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</si>
  <si>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</si>
  <si>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</si>
  <si>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</si>
  <si>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</si>
  <si>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</si>
  <si>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</si>
  <si>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</si>
  <si>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</si>
  <si>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</si>
  <si>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</si>
  <si>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</si>
  <si>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</si>
  <si>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</si>
  <si>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</si>
  <si>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</si>
  <si>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</si>
  <si>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</si>
  <si>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</si>
  <si>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</si>
  <si>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</si>
  <si>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</si>
  <si>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</si>
  <si>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</si>
  <si>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</si>
  <si>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</si>
  <si>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</si>
  <si>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</si>
  <si>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</si>
  <si>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</si>
  <si>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</si>
  <si>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</si>
  <si>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</si>
  <si>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</si>
  <si>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</si>
  <si>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</si>
  <si>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</si>
  <si>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</si>
  <si>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</si>
  <si>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</si>
  <si>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</si>
  <si>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</si>
  <si>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</si>
  <si>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</si>
  <si>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</si>
  <si>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</si>
  <si>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</si>
  <si>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</si>
  <si>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</si>
  <si>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</si>
  <si>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</si>
  <si>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</si>
  <si>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</si>
  <si>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</si>
  <si>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</si>
  <si>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</si>
  <si>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</si>
  <si>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</si>
  <si>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</si>
  <si>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</si>
  <si>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</si>
  <si>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</si>
  <si>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</si>
  <si>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</si>
  <si>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</si>
  <si>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</si>
  <si>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</si>
  <si>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</si>
  <si>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</si>
  <si>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</si>
  <si>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</si>
  <si>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</si>
  <si>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</si>
  <si>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</si>
  <si>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</si>
  <si>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</si>
  <si>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</si>
  <si>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</si>
  <si>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</si>
  <si>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</si>
  <si>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</si>
  <si>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</si>
  <si>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</si>
  <si>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</si>
  <si>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</si>
  <si>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</si>
  <si>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</si>
  <si>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</si>
  <si>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</si>
  <si>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</si>
  <si>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</si>
  <si>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</si>
  <si>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</si>
  <si>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</si>
  <si>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</si>
  <si>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</si>
  <si>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</si>
  <si>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</si>
  <si>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</si>
  <si>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</si>
  <si>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</si>
  <si>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</si>
  <si>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</si>
  <si>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</si>
  <si>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</si>
  <si>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</si>
  <si>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</si>
  <si>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</si>
  <si>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</si>
  <si>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</si>
  <si>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</si>
  <si>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</si>
  <si>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</si>
  <si>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</si>
  <si>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</si>
  <si>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</si>
  <si>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</si>
  <si>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</si>
  <si>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</si>
  <si>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</si>
  <si>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</si>
  <si>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</si>
  <si>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</si>
  <si>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</si>
  <si>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</si>
  <si>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</si>
  <si>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</si>
  <si>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</si>
  <si>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</si>
  <si>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</si>
  <si>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</si>
  <si>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</si>
  <si>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</si>
  <si>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</si>
  <si>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</si>
  <si>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</si>
  <si>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</si>
  <si>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</si>
  <si>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</si>
  <si>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</si>
  <si>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</si>
  <si>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</si>
  <si>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</si>
  <si>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</si>
  <si>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</si>
  <si>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</si>
  <si>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</si>
  <si>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</si>
  <si>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</si>
  <si>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</si>
  <si>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</si>
  <si>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</si>
  <si>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</si>
  <si>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</si>
  <si>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</si>
  <si>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</si>
  <si>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</si>
  <si>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</si>
  <si>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</si>
  <si>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</si>
  <si>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</si>
  <si>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</si>
  <si>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</si>
  <si>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</si>
  <si>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Profit_Status</t>
  </si>
  <si>
    <t>Discount_Amount</t>
  </si>
  <si>
    <t>Discount_Status</t>
  </si>
  <si>
    <t>Rating_Status</t>
  </si>
  <si>
    <t>Grand Total</t>
  </si>
  <si>
    <t>Sum of Sales</t>
  </si>
  <si>
    <t>Sum of Profit</t>
  </si>
  <si>
    <t>category</t>
  </si>
  <si>
    <t>Sales &amp; Profit by Category</t>
  </si>
  <si>
    <t>Count of Order_ID</t>
  </si>
  <si>
    <t>Store Name</t>
  </si>
  <si>
    <t>Store Performance</t>
  </si>
  <si>
    <t>Sum of Quantity</t>
  </si>
  <si>
    <t>Sum of Cost</t>
  </si>
  <si>
    <t>Category Sales &amp; Cost Analysis</t>
  </si>
  <si>
    <t>Order Status Analysis</t>
  </si>
  <si>
    <t>Payment Method Analysis</t>
  </si>
  <si>
    <t>Order status</t>
  </si>
  <si>
    <r>
      <rPr>
        <sz val="14"/>
        <color theme="1"/>
        <rFont val="Arial Black"/>
        <family val="2"/>
      </rPr>
      <t>Key Insight:</t>
    </r>
    <r>
      <rPr>
        <sz val="11"/>
        <color theme="1"/>
        <rFont val="Arial Black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Arial"/>
        <family val="2"/>
      </rPr>
      <t>1.Sales &amp; Profit by Category: Electronics recorded the highest Sales of ₹55,37,168.70 and the highest Profit of ₹6,76,168.70, while Grocery recorded the lowest Sales of ₹77,354.55 and the lowest Profit of ₹7,976.55.
2.Category Sales, Cost &amp; Quantity Analysis: Beauty recorded the highest Quantity of 420 units, while Grocery recorded the lowest Quantity of 311 units. Electronics recorded the highest Sales of ₹55,37,168.70 and Cost of ₹49,31,900, while Grocery recorded the lowest Sales of ₹77,354.55 and Cost of ₹75,828.
3.Store Performance Analysis: Delhi Connaught recorded the highest number of orders with 69 Order IDs, while Bangalore MG Road recorded the lowest with 53 Order IDs. Hyderabad Banjara recorded the highest Sales of ₹15,61,295.43, while Lucknow Hazratganj recorded the lowest Sales of ₹4,21,100.85. Chennai T. Nagar recorded the highest Profit of ₹2,41,400.05, while Delhi Connaught recorded a Loss of ₹79,990.12.
4.Order Status Analysis: Completed orders accounted for 426 Order IDs, generating Sales of ₹74,34,291.75 and Profit of ₹14,80,573.75; Returns accounted for 43 Order IDs, resulting in negative Sales of ₹3,91,152.61 and a Loss of ₹6,67,482.61; Cancelled orders accounted for 31 Order IDs with zero Sales and zero Profit.
5.Payment Method Analysis: Cash recorded the highest number of orders with 109 Order IDs, while Credit Card recorded the lowest with 92 Order IDs. Net Banking generated the highest Sales of ₹22,47,149.83 and Profit of ₹3,42,097.83, while UPI recorded the lowest Sales of ₹9,71,900.90 and Cash recorded the lowest Profit of ₹5,619.94.</t>
    </r>
    <r>
      <rPr>
        <sz val="12"/>
        <color theme="1"/>
        <rFont val="Arial Black"/>
        <family val="2"/>
      </rPr>
      <t xml:space="preserve"> </t>
    </r>
    <r>
      <rPr>
        <sz val="11"/>
        <color theme="1"/>
        <rFont val="Arial Black"/>
        <family val="2"/>
      </rPr>
      <t xml:space="preserve">                                                                                                                                                      </t>
    </r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</si>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</sst>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Algerian"/>
      <family val="5"/>
    </font>
    <font>
      <sz val="16"/>
      <color theme="1"/>
      <name val="Algerian"/>
      <family val="5"/>
    </font>
    <font>
      <sz val="11"/>
      <color theme="1"/>
      <name val="Arial"/>
      <family val="2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sz val="14"/>
      <color theme="1"/>
      <name val="Arial Black"/>
      <family val="2"/>
    </font>
    <font>
      <sz val="12"/>
      <color theme="1"/>
      <name val="Arial"/>
      <family val="2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0" xfId="0" applyNumberFormat="1"/>
    <xf numFmtId="49" fontId="0" fillId="0" borderId="0" xfId="0" applyNumberFormat="1"/>
    <xf numFmtId="2" fontId="0" fillId="0" borderId="1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" fontId="0" fillId="0" borderId="0" xfId="0" applyNumberFormat="1"/>
    <xf numFmtId="165" fontId="0" fillId="0" borderId="0" xfId="0" applyNumberFormat="1"/>
    <xf numFmtId="0" fontId="1" fillId="2" borderId="8" xfId="0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" fontId="1" fillId="2" borderId="9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5" fontId="1" fillId="2" borderId="9" xfId="0" applyNumberFormat="1" applyFont="1" applyFill="1" applyBorder="1" applyAlignment="1">
      <alignment horizontal="center" vertical="center"/>
    </xf>
    <xf numFmtId="0" fontId="0" fillId="3" borderId="11" xfId="0" applyFill="1" applyBorder="1"/>
    <xf numFmtId="14" fontId="0" fillId="3" borderId="5" xfId="0" applyNumberFormat="1" applyFill="1" applyBorder="1"/>
    <xf numFmtId="49" fontId="0" fillId="3" borderId="5" xfId="0" applyNumberFormat="1" applyFill="1" applyBorder="1"/>
    <xf numFmtId="1" fontId="0" fillId="3" borderId="5" xfId="0" applyNumberFormat="1" applyFill="1" applyBorder="1"/>
    <xf numFmtId="164" fontId="0" fillId="3" borderId="5" xfId="0" applyNumberFormat="1" applyFill="1" applyBorder="1"/>
    <xf numFmtId="165" fontId="0" fillId="3" borderId="5" xfId="0" applyNumberFormat="1" applyFill="1" applyBorder="1"/>
    <xf numFmtId="0" fontId="0" fillId="0" borderId="11" xfId="0" applyBorder="1"/>
    <xf numFmtId="14" fontId="0" fillId="0" borderId="5" xfId="0" applyNumberFormat="1" applyBorder="1"/>
    <xf numFmtId="49" fontId="0" fillId="0" borderId="5" xfId="0" applyNumberFormat="1" applyBorder="1"/>
    <xf numFmtId="1" fontId="0" fillId="0" borderId="5" xfId="0" applyNumberFormat="1" applyBorder="1"/>
    <xf numFmtId="164" fontId="0" fillId="0" borderId="5" xfId="0" applyNumberFormat="1" applyBorder="1"/>
    <xf numFmtId="165" fontId="0" fillId="0" borderId="5" xfId="0" applyNumberFormat="1" applyBorder="1"/>
    <xf numFmtId="0" fontId="0" fillId="0" borderId="13" xfId="0" applyBorder="1"/>
    <xf numFmtId="14" fontId="0" fillId="0" borderId="14" xfId="0" applyNumberFormat="1" applyBorder="1"/>
    <xf numFmtId="49" fontId="0" fillId="0" borderId="14" xfId="0" applyNumberFormat="1" applyBorder="1"/>
    <xf numFmtId="1" fontId="0" fillId="0" borderId="14" xfId="0" applyNumberFormat="1" applyBorder="1"/>
    <xf numFmtId="164" fontId="0" fillId="0" borderId="14" xfId="0" applyNumberFormat="1" applyBorder="1"/>
    <xf numFmtId="164" fontId="0" fillId="3" borderId="14" xfId="0" applyNumberFormat="1" applyFill="1" applyBorder="1"/>
    <xf numFmtId="165" fontId="0" fillId="0" borderId="14" xfId="0" applyNumberFormat="1" applyBorder="1"/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9" borderId="8" xfId="0" applyFont="1" applyFill="1" applyBorder="1" applyAlignment="1">
      <alignment horizontal="left" vertical="top" wrapText="1"/>
    </xf>
    <xf numFmtId="0" fontId="0" fillId="9" borderId="15" xfId="0" applyFont="1" applyFill="1" applyBorder="1" applyAlignment="1">
      <alignment horizontal="left" vertical="top"/>
    </xf>
    <xf numFmtId="0" fontId="0" fillId="9" borderId="16" xfId="0" applyFont="1" applyFill="1" applyBorder="1" applyAlignment="1">
      <alignment horizontal="left" vertical="top"/>
    </xf>
    <xf numFmtId="0" fontId="0" fillId="9" borderId="17" xfId="0" applyFont="1" applyFill="1" applyBorder="1" applyAlignment="1">
      <alignment horizontal="left" vertical="top"/>
    </xf>
    <xf numFmtId="0" fontId="0" fillId="9" borderId="0" xfId="0" applyFont="1" applyFill="1" applyBorder="1" applyAlignment="1">
      <alignment horizontal="left" vertical="top"/>
    </xf>
    <xf numFmtId="0" fontId="0" fillId="9" borderId="18" xfId="0" applyFont="1" applyFill="1" applyBorder="1" applyAlignment="1">
      <alignment horizontal="left" vertical="top"/>
    </xf>
    <xf numFmtId="0" fontId="0" fillId="9" borderId="19" xfId="0" applyFont="1" applyFill="1" applyBorder="1" applyAlignment="1">
      <alignment horizontal="left" vertical="top"/>
    </xf>
    <xf numFmtId="0" fontId="0" fillId="9" borderId="20" xfId="0" applyFont="1" applyFill="1" applyBorder="1" applyAlignment="1">
      <alignment horizontal="left" vertical="top"/>
    </xf>
    <xf numFmtId="0" fontId="0" fillId="9" borderId="21" xfId="0" applyFont="1" applyFill="1" applyBorder="1" applyAlignment="1">
      <alignment horizontal="left" vertical="top"/>
    </xf>
    <xf numFmtId="0" fontId="0" fillId="0" borderId="1" xfId="0" applyFill="1" applyBorder="1" applyAlignment="1"/>
    <xf numFmtId="0" fontId="1" fillId="2" borderId="9" xfId="0" applyNumberFormat="1" applyFont="1" applyFill="1" applyBorder="1" applyAlignment="1">
      <alignment horizontal="center" vertical="center"/>
    </xf>
    <xf numFmtId="0" fontId="0" fillId="3" borderId="5" xfId="0" applyNumberFormat="1" applyFill="1" applyBorder="1"/>
    <xf numFmtId="0" fontId="0" fillId="3" borderId="14" xfId="0" applyNumberFormat="1" applyFill="1" applyBorder="1"/>
    <xf numFmtId="0" fontId="0" fillId="0" borderId="0" xfId="0" applyNumberFormat="1"/>
    <xf numFmtId="0" fontId="0" fillId="0" borderId="24" xfId="0" applyFill="1" applyBorder="1" applyAlignment="1"/>
    <xf numFmtId="0" fontId="0" fillId="0" borderId="25" xfId="0" applyFill="1" applyBorder="1" applyAlignment="1"/>
    <xf numFmtId="0" fontId="0" fillId="0" borderId="26" xfId="0" applyFill="1" applyBorder="1" applyAlignment="1"/>
    <xf numFmtId="0" fontId="0" fillId="0" borderId="27" xfId="0" applyFill="1" applyBorder="1" applyAlignment="1"/>
    <xf numFmtId="0" fontId="9" fillId="10" borderId="1" xfId="0" applyFont="1" applyFill="1" applyBorder="1" applyAlignment="1">
      <alignment horizontal="centerContinuous" vertical="center"/>
    </xf>
    <xf numFmtId="0" fontId="9" fillId="10" borderId="22" xfId="0" applyFont="1" applyFill="1" applyBorder="1" applyAlignment="1">
      <alignment horizontal="centerContinuous" vertical="center"/>
    </xf>
    <xf numFmtId="0" fontId="9" fillId="10" borderId="23" xfId="0" applyFont="1" applyFill="1" applyBorder="1" applyAlignment="1">
      <alignment horizontal="centerContinuous" vertical="center"/>
    </xf>
    <xf numFmtId="0" fontId="0" fillId="0" borderId="5" xfId="0" applyNumberFormat="1" applyBorder="1"/>
    <xf numFmtId="0" fontId="0" fillId="0" borderId="14" xfId="0" applyNumberFormat="1" applyBorder="1"/>
    <xf numFmtId="0" fontId="1" fillId="2" borderId="10" xfId="0" applyNumberFormat="1" applyFont="1" applyFill="1" applyBorder="1" applyAlignment="1">
      <alignment horizontal="center" vertical="center"/>
    </xf>
    <xf numFmtId="0" fontId="0" fillId="3" borderId="12" xfId="0" applyNumberFormat="1" applyFill="1" applyBorder="1"/>
  </cellXfs>
  <cellStyles count="1">
    <cellStyle name="Normal" xfId="0" builtinId="0"/>
  </cellStyles>
  <dxfs count="5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8EB3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thi lakshmi" refreshedDate="46292.932829398145" createdVersion="8" refreshedVersion="8" minRefreshableVersion="3" recordCount="500" xr:uid="{BC90BF45-399C-44B6-A96F-9915FBC8FDFC}">
  <cacheSource type="worksheet">
    <worksheetSource ref="A1:V501" sheet="retail_store_performance_dashbo"/>
  </cacheSource>
  <cacheFields count="24">
    <cacheField name="Order_ID" numFmtId="0">
      <sharedItems count="500">
        <s v="ORD00003"/>
        <s v="ORD00016"/>
        <s v="ORD00138"/>
        <s v="ORD00143"/>
        <s v="ORD00182"/>
        <s v="ORD00206"/>
        <s v="ORD00462"/>
        <s v="ORD00181"/>
        <s v="ORD00290"/>
        <s v="ORD00473"/>
        <s v="ORD00133"/>
        <s v="ORD00159"/>
        <s v="ORD00262"/>
        <s v="ORD00318"/>
        <s v="ORD00362"/>
        <s v="ORD00363"/>
        <s v="ORD00461"/>
        <s v="ORD00486"/>
        <s v="ORD00042"/>
        <s v="ORD00250"/>
        <s v="ORD00357"/>
        <s v="ORD00193"/>
        <s v="ORD00277"/>
        <s v="ORD00293"/>
        <s v="ORD00398"/>
        <s v="ORD00431"/>
        <s v="ORD00040"/>
        <s v="ORD00075"/>
        <s v="ORD00087"/>
        <s v="ORD00116"/>
        <s v="ORD00319"/>
        <s v="ORD00035"/>
        <s v="ORD00071"/>
        <s v="ORD00146"/>
        <s v="ORD00374"/>
        <s v="ORD00205"/>
        <s v="ORD00024"/>
        <s v="ORD00332"/>
        <s v="ORD00283"/>
        <s v="ORD00301"/>
        <s v="ORD00423"/>
        <s v="ORD00442"/>
        <s v="ORD00379"/>
        <s v="ORD00493"/>
        <s v="ORD00037"/>
        <s v="ORD00044"/>
        <s v="ORD00417"/>
        <s v="ORD00078"/>
        <s v="ORD00240"/>
        <s v="ORD00361"/>
        <s v="ORD00484"/>
        <s v="ORD00276"/>
        <s v="ORD00441"/>
        <s v="ORD00235"/>
        <s v="ORD00254"/>
        <s v="ORD00287"/>
        <s v="ORD00050"/>
        <s v="ORD00213"/>
        <s v="ORD00288"/>
        <s v="ORD00329"/>
        <s v="ORD00341"/>
        <s v="ORD00400"/>
        <s v="ORD00152"/>
        <s v="ORD00389"/>
        <s v="ORD00451"/>
        <s v="ORD00092"/>
        <s v="ORD00091"/>
        <s v="ORD00216"/>
        <s v="ORD00101"/>
        <s v="ORD00126"/>
        <s v="ORD00467"/>
        <s v="ORD00001"/>
        <s v="ORD00164"/>
        <s v="ORD00191"/>
        <s v="ORD00079"/>
        <s v="ORD00120"/>
        <s v="ORD00313"/>
        <s v="ORD00370"/>
        <s v="ORD00031"/>
        <s v="ORD00158"/>
        <s v="ORD00155"/>
        <s v="ORD00246"/>
        <s v="ORD00413"/>
        <s v="ORD00068"/>
        <s v="ORD00347"/>
        <s v="ORD00359"/>
        <s v="ORD00150"/>
        <s v="ORD00039"/>
        <s v="ORD00051"/>
        <s v="ORD00438"/>
        <s v="ORD00117"/>
        <s v="ORD00321"/>
        <s v="ORD00437"/>
        <s v="ORD00053"/>
        <s v="ORD00258"/>
        <s v="ORD00108"/>
        <s v="ORD00119"/>
        <s v="ORD00231"/>
        <s v="ORD00279"/>
        <s v="ORD00074"/>
        <s v="ORD00132"/>
        <s v="ORD00278"/>
        <s v="ORD00095"/>
        <s v="ORD00147"/>
        <s v="ORD00490"/>
        <s v="ORD00435"/>
        <s v="ORD00491"/>
        <s v="ORD00083"/>
        <s v="ORD00334"/>
        <s v="ORD00459"/>
        <s v="ORD00394"/>
        <s v="ORD00157"/>
        <s v="ORD00308"/>
        <s v="ORD00030"/>
        <s v="ORD00209"/>
        <s v="ORD00291"/>
        <s v="ORD00059"/>
        <s v="ORD00281"/>
        <s v="ORD00354"/>
        <s v="ORD00471"/>
        <s v="ORD00145"/>
        <s v="ORD00215"/>
        <s v="ORD00070"/>
        <s v="ORD00196"/>
        <s v="ORD00286"/>
        <s v="ORD00034"/>
        <s v="ORD00104"/>
        <s v="ORD00376"/>
        <s v="ORD00344"/>
        <s v="ORD00173"/>
        <s v="ORD00371"/>
        <s v="ORD00433"/>
        <s v="ORD00454"/>
        <s v="ORD00115"/>
        <s v="ORD00472"/>
        <s v="ORD00478"/>
        <s v="ORD00033"/>
        <s v="ORD00307"/>
        <s v="ORD00425"/>
        <s v="ORD00264"/>
        <s v="ORD00475"/>
        <s v="ORD00061"/>
        <s v="ORD00443"/>
        <s v="ORD00455"/>
        <s v="ORD00065"/>
        <s v="ORD00100"/>
        <s v="ORD00295"/>
        <s v="ORD00385"/>
        <s v="ORD00226"/>
        <s v="ORD00402"/>
        <s v="ORD00414"/>
        <s v="ORD00434"/>
        <s v="ORD00225"/>
        <s v="ORD00256"/>
        <s v="ORD00294"/>
        <s v="ORD00492"/>
        <s v="ORD00305"/>
        <s v="ORD00444"/>
        <s v="ORD00027"/>
        <s v="ORD00103"/>
        <s v="ORD00325"/>
        <s v="ORD00381"/>
        <s v="ORD00019"/>
        <s v="ORD00485"/>
        <s v="ORD00038"/>
        <s v="ORD00228"/>
        <s v="ORD00326"/>
        <s v="ORD00360"/>
        <s v="ORD00373"/>
        <s v="ORD00320"/>
        <s v="ORD00346"/>
        <s v="ORD00499"/>
        <s v="ORD00049"/>
        <s v="ORD00006"/>
        <s v="ORD00212"/>
        <s v="ORD00241"/>
        <s v="ORD00498"/>
        <s v="ORD00322"/>
        <s v="ORD00432"/>
        <s v="ORD00237"/>
        <s v="ORD00055"/>
        <s v="ORD00058"/>
        <s v="ORD00270"/>
        <s v="ORD00439"/>
        <s v="ORD00282"/>
        <s v="ORD00345"/>
        <s v="ORD00066"/>
        <s v="ORD00111"/>
        <s v="ORD00129"/>
        <s v="ORD00372"/>
        <s v="ORD00057"/>
        <s v="ORD00219"/>
        <s v="ORD00280"/>
        <s v="ORD00447"/>
        <s v="ORD00426"/>
        <s v="ORD00210"/>
        <s v="ORD00349"/>
        <s v="ORD00391"/>
        <s v="ORD00416"/>
        <s v="ORD00488"/>
        <s v="ORD00072"/>
        <s v="ORD00272"/>
        <s v="ORD00179"/>
        <s v="ORD00232"/>
        <s v="ORD00312"/>
        <s v="ORD00429"/>
        <s v="ORD00089"/>
        <s v="ORD00026"/>
        <s v="ORD00096"/>
        <s v="ORD00339"/>
        <s v="ORD00314"/>
        <s v="ORD00367"/>
        <s v="ORD00456"/>
        <s v="ORD00337"/>
        <s v="ORD00395"/>
        <s v="ORD00176"/>
        <s v="ORD00261"/>
        <s v="ORD00221"/>
        <s v="ORD00265"/>
        <s v="ORD00298"/>
        <s v="ORD00323"/>
        <s v="ORD00378"/>
        <s v="ORD00105"/>
        <s v="ORD00411"/>
        <s v="ORD00127"/>
        <s v="ORD00190"/>
        <s v="ORD00230"/>
        <s v="ORD00123"/>
        <s v="ORD00184"/>
        <s v="ORD00487"/>
        <s v="ORD00463"/>
        <s v="ORD00135"/>
        <s v="ORD00366"/>
        <s v="ORD00163"/>
        <s v="ORD00167"/>
        <s v="ORD00236"/>
        <s v="ORD00480"/>
        <s v="ORD00494"/>
        <s v="ORD00202"/>
        <s v="ORD00014"/>
        <s v="ORD00113"/>
        <s v="ORD00137"/>
        <s v="ORD00178"/>
        <s v="ORD00289"/>
        <s v="ORD00495"/>
        <s v="ORD00448"/>
        <s v="ORD00022"/>
        <s v="ORD00195"/>
        <s v="ORD00427"/>
        <s v="ORD00148"/>
        <s v="ORD00311"/>
        <s v="ORD00012"/>
        <s v="ORD00128"/>
        <s v="ORD00165"/>
        <s v="ORD00369"/>
        <s v="ORD00351"/>
        <s v="ORD00267"/>
        <s v="ORD00303"/>
        <s v="ORD00483"/>
        <s v="ORD00056"/>
        <s v="ORD00156"/>
        <s v="ORD00185"/>
        <s v="ORD00300"/>
        <s v="ORD00408"/>
        <s v="ORD00482"/>
        <s v="ORD00271"/>
        <s v="ORD00047"/>
        <s v="ORD00497"/>
        <s v="ORD00080"/>
        <s v="ORD00263"/>
        <s v="ORD00436"/>
        <s v="ORD00183"/>
        <s v="ORD00233"/>
        <s v="ORD00131"/>
        <s v="ORD00418"/>
        <s v="ORD00247"/>
        <s v="ORD00310"/>
        <s v="ORD00377"/>
        <s v="ORD00430"/>
        <s v="ORD00020"/>
        <s v="ORD00106"/>
        <s v="ORD00333"/>
        <s v="ORD00239"/>
        <s v="ORD00067"/>
        <s v="ORD00121"/>
        <s v="ORD00187"/>
        <s v="ORD00330"/>
        <s v="ORD00410"/>
        <s v="ORD00064"/>
        <s v="ORD00222"/>
        <s v="ORD00452"/>
        <s v="ORD00284"/>
        <s v="ORD00199"/>
        <s v="ORD00229"/>
        <s v="ORD00257"/>
        <s v="ORD00260"/>
        <s v="ORD00405"/>
        <s v="ORD00142"/>
        <s v="ORD00144"/>
        <s v="ORD00299"/>
        <s v="ORD00468"/>
        <s v="ORD00500"/>
        <s v="ORD00029"/>
        <s v="ORD00048"/>
        <s v="ORD00189"/>
        <s v="ORD00316"/>
        <s v="ORD00011"/>
        <s v="ORD00118"/>
        <s v="ORD00169"/>
        <s v="ORD00424"/>
        <s v="ORD00380"/>
        <s v="ORD00397"/>
        <s v="ORD00002"/>
        <s v="ORD00162"/>
        <s v="ORD00453"/>
        <s v="ORD00457"/>
        <s v="ORD00008"/>
        <s v="ORD00098"/>
        <s v="ORD00317"/>
        <s v="ORD00396"/>
        <s v="ORD00479"/>
        <s v="ORD00168"/>
        <s v="ORD00192"/>
        <s v="ORD00018"/>
        <s v="ORD00214"/>
        <s v="ORD00309"/>
        <s v="ORD00422"/>
        <s v="ORD00124"/>
        <s v="ORD00268"/>
        <s v="ORD00355"/>
        <s v="ORD00449"/>
        <s v="ORD00186"/>
        <s v="ORD00204"/>
        <s v="ORD00227"/>
        <s v="ORD00188"/>
        <s v="ORD00085"/>
        <s v="ORD00136"/>
        <s v="ORD00315"/>
        <s v="ORD00077"/>
        <s v="ORD00255"/>
        <s v="ORD00266"/>
        <s v="ORD00017"/>
        <s v="ORD00125"/>
        <s v="ORD00224"/>
        <s v="ORD00242"/>
        <s v="ORD00023"/>
        <s v="ORD00387"/>
        <s v="ORD00010"/>
        <s v="ORD00043"/>
        <s v="ORD00177"/>
        <s v="ORD00404"/>
        <s v="ORD00440"/>
        <s v="ORD00406"/>
        <s v="ORD00340"/>
        <s v="ORD00353"/>
        <s v="ORD00384"/>
        <s v="ORD00392"/>
        <s v="ORD00005"/>
        <s v="ORD00046"/>
        <s v="ORD00198"/>
        <s v="ORD00446"/>
        <s v="ORD00154"/>
        <s v="ORD00375"/>
        <s v="ORD00458"/>
        <s v="ORD00356"/>
        <s v="ORD00365"/>
        <s v="ORD00060"/>
        <s v="ORD00251"/>
        <s v="ORD00343"/>
        <s v="ORD00139"/>
        <s v="ORD00220"/>
        <s v="ORD00470"/>
        <s v="ORD00109"/>
        <s v="ORD00324"/>
        <s v="ORD00063"/>
        <s v="ORD00253"/>
        <s v="ORD00004"/>
        <s v="ORD00036"/>
        <s v="ORD00296"/>
        <s v="ORD00086"/>
        <s v="ORD00094"/>
        <s v="ORD00134"/>
        <s v="ORD00171"/>
        <s v="ORD00327"/>
        <s v="ORD00350"/>
        <s v="ORD00428"/>
        <s v="ORD00342"/>
        <s v="ORD00249"/>
        <s v="ORD00304"/>
        <s v="ORD00045"/>
        <s v="ORD00336"/>
        <s v="ORD00474"/>
        <s v="ORD00069"/>
        <s v="ORD00161"/>
        <s v="ORD00388"/>
        <s v="ORD00032"/>
        <s v="ORD00084"/>
        <s v="ORD00073"/>
        <s v="ORD00368"/>
        <s v="ORD00420"/>
        <s v="ORD00197"/>
        <s v="ORD00466"/>
        <s v="ORD00481"/>
        <s v="ORD00390"/>
        <s v="ORD00141"/>
        <s v="ORD00208"/>
        <s v="ORD00364"/>
        <s v="ORD00403"/>
        <s v="ORD00348"/>
        <s v="ORD00464"/>
        <s v="ORD00052"/>
        <s v="ORD00107"/>
        <s v="ORD00093"/>
        <s v="ORD00328"/>
        <s v="ORD00445"/>
        <s v="ORD00211"/>
        <s v="ORD00245"/>
        <s v="ORD00248"/>
        <s v="ORD00200"/>
        <s v="ORD00203"/>
        <s v="ORD00306"/>
        <s v="ORD00097"/>
        <s v="ORD00175"/>
        <s v="ORD00399"/>
        <s v="ORD00062"/>
        <s v="ORD00382"/>
        <s v="ORD00386"/>
        <s v="ORD00041"/>
        <s v="ORD00076"/>
        <s v="ORD00194"/>
        <s v="ORD00352"/>
        <s v="ORD00358"/>
        <s v="ORD00153"/>
        <s v="ORD00469"/>
        <s v="ORD00149"/>
        <s v="ORD00238"/>
        <s v="ORD00292"/>
        <s v="ORD00013"/>
        <s v="ORD00099"/>
        <s v="ORD00207"/>
        <s v="ORD00217"/>
        <s v="ORD00338"/>
        <s v="ORD00028"/>
        <s v="ORD00166"/>
        <s v="ORD00415"/>
        <s v="ORD00090"/>
        <s v="ORD00259"/>
        <s v="ORD00450"/>
        <s v="ORD00218"/>
        <s v="ORD00114"/>
        <s v="ORD00160"/>
        <s v="ORD00054"/>
        <s v="ORD00088"/>
        <s v="ORD00082"/>
        <s v="ORD00285"/>
        <s v="ORD00243"/>
        <s v="ORD00460"/>
        <s v="ORD00151"/>
        <s v="ORD00223"/>
        <s v="ORD00407"/>
        <s v="ORD00489"/>
        <s v="ORD00234"/>
        <s v="ORD00007"/>
        <s v="ORD00140"/>
        <s v="ORD00201"/>
        <s v="ORD00269"/>
        <s v="ORD00273"/>
        <s v="ORD00110"/>
        <s v="ORD00477"/>
        <s v="ORD00122"/>
        <s v="ORD00244"/>
        <s v="ORD00383"/>
        <s v="ORD00409"/>
        <s v="ORD00009"/>
        <s v="ORD00021"/>
        <s v="ORD00172"/>
        <s v="ORD00025"/>
        <s v="ORD00180"/>
        <s v="ORD00297"/>
        <s v="ORD00081"/>
        <s v="ORD00275"/>
        <s v="ORD00015"/>
        <s v="ORD00302"/>
        <s v="ORD00174"/>
        <s v="ORD00331"/>
        <s v="ORD00393"/>
        <s v="ORD00421"/>
        <s v="ORD00496"/>
        <s v="ORD00130"/>
        <s v="ORD00465"/>
        <s v="ORD00252"/>
        <s v="ORD00412"/>
        <s v="ORD00335"/>
        <s v="ORD00102"/>
        <s v="ORD00112"/>
        <s v="ORD00170"/>
        <s v="ORD00274"/>
        <s v="ORD00401"/>
        <s v="ORD00419"/>
        <s v="ORD00476"/>
      </sharedItems>
    </cacheField>
    <cacheField name="Order_Date" numFmtId="14">
      <sharedItems containsSemiMixedTypes="0" containsNonDate="0" containsDate="1" containsString="0" minDate="2026-01-01T00:00:00" maxDate="2026-08-29T00:00:00" count="201">
        <d v="2026-01-01T00:00:00"/>
        <d v="2026-01-02T00:00:00"/>
        <d v="2026-01-03T00:00:00"/>
        <d v="2026-01-04T00:00:00"/>
        <d v="2026-01-06T00:00:00"/>
        <d v="2026-01-07T00:00:00"/>
        <d v="2026-01-08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30T00:00:00"/>
        <d v="2026-01-31T00:00:00"/>
        <d v="2026-02-02T00:00:00"/>
        <d v="2026-02-03T00:00:00"/>
        <d v="2026-02-04T00:00:00"/>
        <d v="2026-02-06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1T00:00:00"/>
        <d v="2026-02-22T00:00:00"/>
        <d v="2026-02-23T00:00:00"/>
        <d v="2026-02-24T00:00:00"/>
        <d v="2026-02-25T00:00:00"/>
        <d v="2026-02-26T00:00:00"/>
        <d v="2026-02-28T00:00:00"/>
        <d v="2026-03-01T00:00:00"/>
        <d v="2026-03-02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5T00:00:00"/>
        <d v="2026-03-16T00:00:00"/>
        <d v="2026-03-18T00:00:00"/>
        <d v="2026-03-19T00:00:00"/>
        <d v="2026-03-20T00:00:00"/>
        <d v="2026-03-21T00:00:00"/>
        <d v="2026-03-22T00:00:00"/>
        <d v="2026-03-24T00:00:00"/>
        <d v="2026-03-25T00:00:00"/>
        <d v="2026-03-26T00:00:00"/>
        <d v="2026-03-28T00:00:00"/>
        <d v="2026-03-29T00:00:00"/>
        <d v="2026-03-30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6T00:00:00"/>
        <d v="2026-05-17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30T00:00:00"/>
        <d v="2026-06-01T00:00:00"/>
        <d v="2026-06-02T00:00:00"/>
        <d v="2026-06-03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5T00:00:00"/>
        <d v="2026-07-16T00:00:00"/>
        <d v="2026-07-17T00:00:00"/>
        <d v="2026-07-18T00:00:00"/>
        <d v="2026-07-20T00:00:00"/>
        <d v="2026-07-21T00:00:00"/>
        <d v="2026-07-23T00:00:00"/>
        <d v="2026-07-24T00:00:00"/>
        <d v="2026-07-26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7T00:00:00"/>
        <d v="2026-08-08T00:00:00"/>
        <d v="2026-08-09T00:00:00"/>
        <d v="2026-08-11T00:00:00"/>
        <d v="2026-08-12T00:00:00"/>
        <d v="2026-08-13T00:00:00"/>
        <d v="2026-08-14T00:00:00"/>
        <d v="2026-08-16T00:00:00"/>
        <d v="2026-08-18T00:00:00"/>
        <d v="2026-08-19T00:00:00"/>
        <d v="2026-08-20T00:00:00"/>
        <d v="2026-08-22T00:00:00"/>
        <d v="2026-08-23T00:00:00"/>
        <d v="2026-08-24T00:00:00"/>
        <d v="2026-08-25T00:00:00"/>
        <d v="2026-08-26T00:00:00"/>
        <d v="2026-08-27T00:00:00"/>
        <d v="2026-08-28T00:00:00"/>
      </sharedItems>
      <fieldGroup par="23"/>
    </cacheField>
    <cacheField name="Store_Name" numFmtId="49">
      <sharedItems count="8">
        <s v="Delhi Connaught"/>
        <s v="Hyderabad Banjara"/>
        <s v="Bengaluru MG Road"/>
        <s v="Jaipur Central"/>
        <s v="Chennai T Nagar"/>
        <s v="Mumbai Andheri"/>
        <s v="Lucknow Hazratganj"/>
        <s v="Kolkata Park Street"/>
      </sharedItems>
    </cacheField>
    <cacheField name="City" numFmtId="49">
      <sharedItems/>
    </cacheField>
    <cacheField name="State" numFmtId="49">
      <sharedItems/>
    </cacheField>
    <cacheField name="Region" numFmtId="49">
      <sharedItems/>
    </cacheField>
    <cacheField name="Store_Manager" numFmtId="49">
      <sharedItems/>
    </cacheField>
    <cacheField name="Category" numFmtId="49">
      <sharedItems count="5">
        <s v="Electronics"/>
        <s v="Beauty"/>
        <s v="Clothing"/>
        <s v="Grocery"/>
        <s v="Home &amp; Kitchen"/>
      </sharedItems>
    </cacheField>
    <cacheField name="Product_Name" numFmtId="49">
      <sharedItems/>
    </cacheField>
    <cacheField name="Quantity" numFmtId="2">
      <sharedItems containsSemiMixedTypes="0" containsString="0" containsNumber="1" containsInteger="1" minValue="1" maxValue="6"/>
    </cacheField>
    <cacheField name="Unit_Price" numFmtId="164">
      <sharedItems containsSemiMixedTypes="0" containsString="0" containsNumber="1" minValue="95.11" maxValue="57447.85"/>
    </cacheField>
    <cacheField name="Discount_Percent" numFmtId="2">
      <sharedItems containsSemiMixedTypes="0" containsString="0" containsNumber="1" containsInteger="1" minValue="0" maxValue="20"/>
    </cacheField>
    <cacheField name="Discount_Amount" numFmtId="164">
      <sharedItems containsSemiMixedTypes="0" containsString="0" containsNumber="1" minValue="0" maxValue="66649.428000000014"/>
    </cacheField>
    <cacheField name="Sales" numFmtId="164">
      <sharedItems containsSemiMixedTypes="0" containsString="0" containsNumber="1" minValue="-109213.9" maxValue="323173.62"/>
    </cacheField>
    <cacheField name="Cost" numFmtId="164">
      <sharedItems containsSemiMixedTypes="0" containsString="0" containsNumber="1" containsInteger="1" minValue="72" maxValue="252000"/>
    </cacheField>
    <cacheField name="Profit" numFmtId="164">
      <sharedItems containsSemiMixedTypes="0" containsString="0" containsNumber="1" minValue="-189213.9" maxValue="71173.62"/>
    </cacheField>
    <cacheField name="Profit_Status" numFmtId="49">
      <sharedItems/>
    </cacheField>
    <cacheField name="Discount_Status" numFmtId="49">
      <sharedItems/>
    </cacheField>
    <cacheField name="Payment_Method" numFmtId="49">
      <sharedItems count="5">
        <s v="Cash"/>
        <s v="UPI"/>
        <s v="Net Banking"/>
        <s v="Credit Card"/>
        <s v="Debit Card"/>
      </sharedItems>
    </cacheField>
    <cacheField name="Order_Status" numFmtId="49">
      <sharedItems count="3">
        <s v="Completed"/>
        <s v="Cancelled"/>
        <s v="Returned"/>
      </sharedItems>
    </cacheField>
    <cacheField name="Customer_Rating" numFmtId="2">
      <sharedItems containsString="0" containsBlank="1" containsNumber="1" minValue="3" maxValue="5"/>
    </cacheField>
    <cacheField name="Rating_Status" numFmtId="49">
      <sharedItems/>
    </cacheField>
    <cacheField name="Days (Order_Date)" numFmtId="0" databaseField="0">
      <fieldGroup base="1">
        <rangePr groupBy="days" startDate="2026-01-01T00:00:00" endDate="2026-08-29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08-2026"/>
        </groupItems>
      </fieldGroup>
    </cacheField>
    <cacheField name="Months (Order_Date)" numFmtId="0" databaseField="0">
      <fieldGroup base="1">
        <rangePr groupBy="months" startDate="2026-01-01T00:00:00" endDate="2026-08-29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s v="Delhi"/>
    <s v="Delhi"/>
    <s v="North"/>
    <s v="Amit Verma"/>
    <x v="0"/>
    <s v="Smartwatch"/>
    <n v="3"/>
    <n v="4642.54"/>
    <n v="20"/>
    <n v="2785.5239999999994"/>
    <n v="11142.1"/>
    <n v="8700"/>
    <n v="2442.1"/>
    <s v="Profit"/>
    <s v="High Discount"/>
    <x v="0"/>
    <x v="0"/>
    <n v="4.8"/>
    <s v="High Rating"/>
  </r>
  <r>
    <x v="1"/>
    <x v="0"/>
    <x v="1"/>
    <s v="Hyderabad"/>
    <s v="Telangana"/>
    <s v="South"/>
    <s v="Anjali Reddy"/>
    <x v="1"/>
    <s v="Perfume"/>
    <n v="5"/>
    <n v="1877.79"/>
    <n v="0"/>
    <n v="0"/>
    <n v="9388.9500000000007"/>
    <n v="5250"/>
    <n v="4138.95"/>
    <s v="Profit"/>
    <s v="No Discount"/>
    <x v="1"/>
    <x v="0"/>
    <n v="3.4"/>
    <s v="Medium Rating"/>
  </r>
  <r>
    <x v="2"/>
    <x v="0"/>
    <x v="2"/>
    <s v="Bengaluru"/>
    <s v="Karnataka"/>
    <s v="South"/>
    <s v="Vikram Rao"/>
    <x v="1"/>
    <s v="Moisturizer"/>
    <n v="5"/>
    <n v="541.07000000000005"/>
    <n v="10"/>
    <n v="270.53500000000003"/>
    <n v="2434.8200000000002"/>
    <n v="1700"/>
    <n v="734.82"/>
    <s v="Profit"/>
    <s v="Medium Discount"/>
    <x v="1"/>
    <x v="0"/>
    <n v="4.9000000000000004"/>
    <s v="High Rating"/>
  </r>
  <r>
    <x v="3"/>
    <x v="0"/>
    <x v="2"/>
    <s v="Bengaluru"/>
    <s v="Karnataka"/>
    <s v="South"/>
    <s v="Vikram Rao"/>
    <x v="2"/>
    <s v="Jacket"/>
    <n v="1"/>
    <n v="3064.93"/>
    <n v="5"/>
    <n v="153.2465"/>
    <n v="2911.68"/>
    <n v="1900"/>
    <n v="1011.68"/>
    <s v="Profit"/>
    <s v="Low Discount"/>
    <x v="2"/>
    <x v="0"/>
    <n v="3.7"/>
    <s v="Medium Rating"/>
  </r>
  <r>
    <x v="4"/>
    <x v="0"/>
    <x v="3"/>
    <s v="Jaipur"/>
    <s v="Rajasthan"/>
    <s v="West"/>
    <s v="Rajesh Sharma"/>
    <x v="3"/>
    <s v="Cooking Oil 1L"/>
    <n v="2"/>
    <n v="148.35"/>
    <n v="20"/>
    <n v="59.34"/>
    <n v="0"/>
    <n v="240"/>
    <n v="0"/>
    <s v="Break Even"/>
    <s v="High Discount"/>
    <x v="0"/>
    <x v="1"/>
    <m/>
    <s v="Not Rated"/>
  </r>
  <r>
    <x v="5"/>
    <x v="0"/>
    <x v="4"/>
    <s v="Chennai"/>
    <s v="Tamil Nadu"/>
    <s v="South"/>
    <s v="Karthik Iyer"/>
    <x v="0"/>
    <s v="Smartwatch"/>
    <n v="1"/>
    <n v="4397.59"/>
    <n v="5"/>
    <n v="219.87950000000001"/>
    <n v="4177.71"/>
    <n v="2900"/>
    <n v="1277.71"/>
    <s v="Profit"/>
    <s v="Low Discount"/>
    <x v="1"/>
    <x v="0"/>
    <n v="3.5"/>
    <s v="Medium Rating"/>
  </r>
  <r>
    <x v="6"/>
    <x v="0"/>
    <x v="2"/>
    <s v="Bengaluru"/>
    <s v="Karnataka"/>
    <s v="South"/>
    <s v="Vikram Rao"/>
    <x v="0"/>
    <s v="Laptop"/>
    <n v="6"/>
    <n v="57315.86"/>
    <n v="15"/>
    <n v="51584.274000000005"/>
    <n v="292310.89"/>
    <n v="252000"/>
    <n v="40310.89"/>
    <s v="Profit"/>
    <s v="High Discount"/>
    <x v="2"/>
    <x v="0"/>
    <n v="4.5999999999999996"/>
    <s v="High Rating"/>
  </r>
  <r>
    <x v="7"/>
    <x v="1"/>
    <x v="5"/>
    <s v="Mumbai"/>
    <s v="Maharashtra"/>
    <s v="West"/>
    <s v="Neha Kapoor"/>
    <x v="0"/>
    <s v="Smartphone"/>
    <n v="2"/>
    <n v="22025.759999999998"/>
    <n v="0"/>
    <n v="0"/>
    <n v="44051.519999999997"/>
    <n v="32000"/>
    <n v="12051.52"/>
    <s v="Profit"/>
    <s v="No Discount"/>
    <x v="3"/>
    <x v="0"/>
    <n v="3.6"/>
    <s v="Medium Rating"/>
  </r>
  <r>
    <x v="8"/>
    <x v="1"/>
    <x v="4"/>
    <s v="Chennai"/>
    <s v="Tamil Nadu"/>
    <s v="South"/>
    <s v="Karthik Iyer"/>
    <x v="4"/>
    <s v="Water Bottle"/>
    <n v="5"/>
    <n v="718.33"/>
    <n v="0"/>
    <n v="0"/>
    <n v="3591.65"/>
    <n v="2000"/>
    <n v="1591.65"/>
    <s v="Profit"/>
    <s v="No Discount"/>
    <x v="2"/>
    <x v="0"/>
    <n v="4.5"/>
    <s v="High Rating"/>
  </r>
  <r>
    <x v="9"/>
    <x v="1"/>
    <x v="6"/>
    <s v="Lucknow"/>
    <s v="Uttar Pradesh"/>
    <s v="North"/>
    <s v="Sanjay Singh"/>
    <x v="2"/>
    <s v="Sneakers"/>
    <n v="6"/>
    <n v="4196.0200000000004"/>
    <n v="20"/>
    <n v="5035.2240000000002"/>
    <n v="20140.900000000001"/>
    <n v="15600"/>
    <n v="4540.8999999999996"/>
    <s v="Profit"/>
    <s v="High Discount"/>
    <x v="2"/>
    <x v="0"/>
    <n v="3.9"/>
    <s v="Medium Rating"/>
  </r>
  <r>
    <x v="10"/>
    <x v="2"/>
    <x v="5"/>
    <s v="Mumbai"/>
    <s v="Maharashtra"/>
    <s v="West"/>
    <s v="Neha Kapoor"/>
    <x v="1"/>
    <s v="Moisturizer"/>
    <n v="5"/>
    <n v="566.02"/>
    <n v="10"/>
    <n v="283.01"/>
    <n v="2547.09"/>
    <n v="1700"/>
    <n v="847.09"/>
    <s v="Profit"/>
    <s v="Medium Discount"/>
    <x v="1"/>
    <x v="0"/>
    <n v="3.9"/>
    <s v="Medium Rating"/>
  </r>
  <r>
    <x v="11"/>
    <x v="2"/>
    <x v="3"/>
    <s v="Jaipur"/>
    <s v="Rajasthan"/>
    <s v="West"/>
    <s v="Rajesh Sharma"/>
    <x v="3"/>
    <s v="Tea 500g"/>
    <n v="2"/>
    <n v="266.77999999999997"/>
    <n v="10"/>
    <n v="53.355999999999995"/>
    <n v="480.2"/>
    <n v="420"/>
    <n v="60.2"/>
    <s v="Profit"/>
    <s v="Medium Discount"/>
    <x v="2"/>
    <x v="0"/>
    <n v="4"/>
    <s v="Medium Rating"/>
  </r>
  <r>
    <x v="12"/>
    <x v="2"/>
    <x v="4"/>
    <s v="Chennai"/>
    <s v="Tamil Nadu"/>
    <s v="South"/>
    <s v="Karthik Iyer"/>
    <x v="3"/>
    <s v="Biscuits Pack"/>
    <n v="3"/>
    <n v="101.41"/>
    <n v="5"/>
    <n v="15.211500000000001"/>
    <n v="-289.02"/>
    <n v="216"/>
    <n v="-505.02"/>
    <s v="Loss"/>
    <s v="Low Discount"/>
    <x v="0"/>
    <x v="2"/>
    <n v="4.5"/>
    <s v="High Rating"/>
  </r>
  <r>
    <x v="13"/>
    <x v="2"/>
    <x v="3"/>
    <s v="Jaipur"/>
    <s v="Rajasthan"/>
    <s v="West"/>
    <s v="Rajesh Sharma"/>
    <x v="3"/>
    <s v="Rice 5kg"/>
    <n v="4"/>
    <n v="624.91"/>
    <n v="10"/>
    <n v="249.96399999999997"/>
    <n v="2249.6799999999998"/>
    <n v="2040"/>
    <n v="209.68"/>
    <s v="Profit"/>
    <s v="Medium Discount"/>
    <x v="2"/>
    <x v="0"/>
    <n v="4.5"/>
    <s v="High Rating"/>
  </r>
  <r>
    <x v="14"/>
    <x v="3"/>
    <x v="3"/>
    <s v="Jaipur"/>
    <s v="Rajasthan"/>
    <s v="West"/>
    <s v="Rajesh Sharma"/>
    <x v="0"/>
    <s v="Smartwatch"/>
    <n v="3"/>
    <n v="4585.26"/>
    <n v="20"/>
    <n v="2751.1560000000004"/>
    <n v="11004.62"/>
    <n v="8700"/>
    <n v="2304.62"/>
    <s v="Profit"/>
    <s v="High Discount"/>
    <x v="1"/>
    <x v="0"/>
    <n v="5"/>
    <s v="High Rating"/>
  </r>
  <r>
    <x v="15"/>
    <x v="3"/>
    <x v="0"/>
    <s v="Delhi"/>
    <s v="Delhi"/>
    <s v="North"/>
    <s v="Amit Verma"/>
    <x v="4"/>
    <s v="Dinner Set"/>
    <n v="2"/>
    <n v="2495.59"/>
    <n v="0"/>
    <n v="0"/>
    <n v="4991.18"/>
    <n v="3100"/>
    <n v="1891.18"/>
    <s v="Profit"/>
    <s v="No Discount"/>
    <x v="4"/>
    <x v="0"/>
    <n v="3.3"/>
    <s v="Medium Rating"/>
  </r>
  <r>
    <x v="16"/>
    <x v="3"/>
    <x v="1"/>
    <s v="Hyderabad"/>
    <s v="Telangana"/>
    <s v="South"/>
    <s v="Anjali Reddy"/>
    <x v="0"/>
    <s v="Smartwatch"/>
    <n v="1"/>
    <n v="4303.6099999999997"/>
    <n v="5"/>
    <n v="215.18049999999999"/>
    <n v="4088.43"/>
    <n v="2900"/>
    <n v="1188.43"/>
    <s v="Profit"/>
    <s v="Low Discount"/>
    <x v="0"/>
    <x v="0"/>
    <n v="4.8"/>
    <s v="High Rating"/>
  </r>
  <r>
    <x v="17"/>
    <x v="3"/>
    <x v="6"/>
    <s v="Lucknow"/>
    <s v="Uttar Pradesh"/>
    <s v="North"/>
    <s v="Sanjay Singh"/>
    <x v="0"/>
    <s v="Headphones"/>
    <n v="5"/>
    <n v="1792.94"/>
    <n v="10"/>
    <n v="896.47"/>
    <n v="8068.23"/>
    <n v="5500"/>
    <n v="2568.23"/>
    <s v="Profit"/>
    <s v="Medium Discount"/>
    <x v="2"/>
    <x v="0"/>
    <n v="3.1"/>
    <s v="Medium Rating"/>
  </r>
  <r>
    <x v="18"/>
    <x v="4"/>
    <x v="3"/>
    <s v="Jaipur"/>
    <s v="Rajasthan"/>
    <s v="West"/>
    <s v="Rajesh Sharma"/>
    <x v="3"/>
    <s v="Rice 5kg"/>
    <n v="5"/>
    <n v="648.62"/>
    <n v="10"/>
    <n v="324.31"/>
    <n v="0"/>
    <n v="2550"/>
    <n v="0"/>
    <s v="Break Even"/>
    <s v="Medium Discount"/>
    <x v="3"/>
    <x v="1"/>
    <m/>
    <s v="Not Rated"/>
  </r>
  <r>
    <x v="19"/>
    <x v="4"/>
    <x v="6"/>
    <s v="Lucknow"/>
    <s v="Uttar Pradesh"/>
    <s v="North"/>
    <s v="Sanjay Singh"/>
    <x v="1"/>
    <s v="Perfume"/>
    <n v="6"/>
    <n v="1761.59"/>
    <n v="15"/>
    <n v="1585.4309999999998"/>
    <n v="8984.11"/>
    <n v="6300"/>
    <n v="2684.11"/>
    <s v="Profit"/>
    <s v="High Discount"/>
    <x v="2"/>
    <x v="0"/>
    <n v="4.3"/>
    <s v="Medium Rating"/>
  </r>
  <r>
    <x v="20"/>
    <x v="4"/>
    <x v="4"/>
    <s v="Chennai"/>
    <s v="Tamil Nadu"/>
    <s v="South"/>
    <s v="Karthik Iyer"/>
    <x v="2"/>
    <s v="Sneakers"/>
    <n v="3"/>
    <n v="4361.74"/>
    <n v="0"/>
    <n v="0"/>
    <n v="13085.22"/>
    <n v="7800"/>
    <n v="5285.22"/>
    <s v="Profit"/>
    <s v="No Discount"/>
    <x v="2"/>
    <x v="0"/>
    <n v="3.2"/>
    <s v="Medium Rating"/>
  </r>
  <r>
    <x v="21"/>
    <x v="5"/>
    <x v="7"/>
    <s v="Kolkata"/>
    <s v="West Bengal"/>
    <s v="East"/>
    <s v="Priya Sen"/>
    <x v="2"/>
    <s v="T-Shirt"/>
    <n v="4"/>
    <n v="869.68"/>
    <n v="5"/>
    <n v="173.93599999999998"/>
    <n v="0"/>
    <n v="2000"/>
    <n v="0"/>
    <s v="Break Even"/>
    <s v="Low Discount"/>
    <x v="1"/>
    <x v="1"/>
    <m/>
    <s v="Not Rated"/>
  </r>
  <r>
    <x v="22"/>
    <x v="5"/>
    <x v="7"/>
    <s v="Kolkata"/>
    <s v="West Bengal"/>
    <s v="East"/>
    <s v="Priya Sen"/>
    <x v="2"/>
    <s v="T-Shirt"/>
    <n v="4"/>
    <n v="888.2"/>
    <n v="0"/>
    <n v="0"/>
    <n v="3552.8"/>
    <n v="2000"/>
    <n v="1552.8"/>
    <s v="Profit"/>
    <s v="No Discount"/>
    <x v="0"/>
    <x v="0"/>
    <n v="4.4000000000000004"/>
    <s v="Medium Rating"/>
  </r>
  <r>
    <x v="23"/>
    <x v="5"/>
    <x v="3"/>
    <s v="Jaipur"/>
    <s v="Rajasthan"/>
    <s v="West"/>
    <s v="Rajesh Sharma"/>
    <x v="1"/>
    <s v="Perfume"/>
    <n v="1"/>
    <n v="1806.8"/>
    <n v="5"/>
    <n v="90.34"/>
    <n v="1716.46"/>
    <n v="1050"/>
    <n v="666.46"/>
    <s v="Profit"/>
    <s v="Low Discount"/>
    <x v="0"/>
    <x v="0"/>
    <n v="3.5"/>
    <s v="Medium Rating"/>
  </r>
  <r>
    <x v="24"/>
    <x v="5"/>
    <x v="3"/>
    <s v="Jaipur"/>
    <s v="Rajasthan"/>
    <s v="West"/>
    <s v="Rajesh Sharma"/>
    <x v="3"/>
    <s v="Tea 500g"/>
    <n v="6"/>
    <n v="270.14999999999998"/>
    <n v="10"/>
    <n v="162.08999999999997"/>
    <n v="1458.81"/>
    <n v="1260"/>
    <n v="198.81"/>
    <s v="Profit"/>
    <s v="Medium Discount"/>
    <x v="4"/>
    <x v="0"/>
    <n v="3.1"/>
    <s v="Medium Rating"/>
  </r>
  <r>
    <x v="25"/>
    <x v="5"/>
    <x v="3"/>
    <s v="Jaipur"/>
    <s v="Rajasthan"/>
    <s v="West"/>
    <s v="Rajesh Sharma"/>
    <x v="2"/>
    <s v="T-Shirt"/>
    <n v="6"/>
    <n v="870.73"/>
    <n v="5"/>
    <n v="261.21899999999999"/>
    <n v="4963.16"/>
    <n v="3000"/>
    <n v="1963.16"/>
    <s v="Profit"/>
    <s v="Low Discount"/>
    <x v="4"/>
    <x v="0"/>
    <n v="4.8"/>
    <s v="High Rating"/>
  </r>
  <r>
    <x v="26"/>
    <x v="6"/>
    <x v="6"/>
    <s v="Lucknow"/>
    <s v="Uttar Pradesh"/>
    <s v="North"/>
    <s v="Sanjay Singh"/>
    <x v="1"/>
    <s v="Perfume"/>
    <n v="2"/>
    <n v="1774.07"/>
    <n v="15"/>
    <n v="532.221"/>
    <n v="3015.92"/>
    <n v="2100"/>
    <n v="915.92"/>
    <s v="Profit"/>
    <s v="High Discount"/>
    <x v="3"/>
    <x v="0"/>
    <n v="4.5999999999999996"/>
    <s v="High Rating"/>
  </r>
  <r>
    <x v="27"/>
    <x v="6"/>
    <x v="1"/>
    <s v="Hyderabad"/>
    <s v="Telangana"/>
    <s v="South"/>
    <s v="Anjali Reddy"/>
    <x v="2"/>
    <s v="Sneakers"/>
    <n v="2"/>
    <n v="4170.17"/>
    <n v="5"/>
    <n v="417.017"/>
    <n v="7923.32"/>
    <n v="5200"/>
    <n v="2723.32"/>
    <s v="Profit"/>
    <s v="Low Discount"/>
    <x v="4"/>
    <x v="0"/>
    <n v="4.5999999999999996"/>
    <s v="High Rating"/>
  </r>
  <r>
    <x v="28"/>
    <x v="6"/>
    <x v="5"/>
    <s v="Mumbai"/>
    <s v="Maharashtra"/>
    <s v="West"/>
    <s v="Neha Kapoor"/>
    <x v="3"/>
    <s v="Rice 5kg"/>
    <n v="3"/>
    <n v="665.54"/>
    <n v="15"/>
    <n v="299.49299999999999"/>
    <n v="1697.13"/>
    <n v="1530"/>
    <n v="167.13"/>
    <s v="Profit"/>
    <s v="High Discount"/>
    <x v="4"/>
    <x v="0"/>
    <n v="4"/>
    <s v="Medium Rating"/>
  </r>
  <r>
    <x v="29"/>
    <x v="6"/>
    <x v="2"/>
    <s v="Bengaluru"/>
    <s v="Karnataka"/>
    <s v="South"/>
    <s v="Vikram Rao"/>
    <x v="2"/>
    <s v="Jacket"/>
    <n v="6"/>
    <n v="3134.23"/>
    <n v="15"/>
    <n v="2820.8070000000002"/>
    <n v="15984.57"/>
    <n v="11400"/>
    <n v="4584.57"/>
    <s v="Profit"/>
    <s v="High Discount"/>
    <x v="4"/>
    <x v="0"/>
    <n v="4.4000000000000004"/>
    <s v="Medium Rating"/>
  </r>
  <r>
    <x v="30"/>
    <x v="6"/>
    <x v="1"/>
    <s v="Hyderabad"/>
    <s v="Telangana"/>
    <s v="South"/>
    <s v="Anjali Reddy"/>
    <x v="1"/>
    <s v="Shampoo"/>
    <n v="2"/>
    <n v="446.01"/>
    <n v="10"/>
    <n v="89.202000000000012"/>
    <n v="0"/>
    <n v="580"/>
    <n v="0"/>
    <s v="Break Even"/>
    <s v="Medium Discount"/>
    <x v="1"/>
    <x v="1"/>
    <m/>
    <s v="Not Rated"/>
  </r>
  <r>
    <x v="31"/>
    <x v="7"/>
    <x v="6"/>
    <s v="Lucknow"/>
    <s v="Uttar Pradesh"/>
    <s v="North"/>
    <s v="Sanjay Singh"/>
    <x v="3"/>
    <s v="Tea 500g"/>
    <n v="5"/>
    <n v="272.04000000000002"/>
    <n v="20"/>
    <n v="272.04000000000002"/>
    <n v="1088.1600000000001"/>
    <n v="1050"/>
    <n v="38.159999999999997"/>
    <s v="Profit"/>
    <s v="High Discount"/>
    <x v="1"/>
    <x v="0"/>
    <n v="4.4000000000000004"/>
    <s v="Medium Rating"/>
  </r>
  <r>
    <x v="32"/>
    <x v="7"/>
    <x v="1"/>
    <s v="Hyderabad"/>
    <s v="Telangana"/>
    <s v="South"/>
    <s v="Anjali Reddy"/>
    <x v="2"/>
    <s v="T-Shirt"/>
    <n v="1"/>
    <n v="898.26"/>
    <n v="10"/>
    <n v="89.826000000000008"/>
    <n v="808.43"/>
    <n v="500"/>
    <n v="308.43"/>
    <s v="Profit"/>
    <s v="Medium Discount"/>
    <x v="3"/>
    <x v="0"/>
    <n v="4.5"/>
    <s v="High Rating"/>
  </r>
  <r>
    <x v="33"/>
    <x v="7"/>
    <x v="5"/>
    <s v="Mumbai"/>
    <s v="Maharashtra"/>
    <s v="West"/>
    <s v="Neha Kapoor"/>
    <x v="4"/>
    <s v="Dinner Set"/>
    <n v="5"/>
    <n v="2456.58"/>
    <n v="10"/>
    <n v="1228.29"/>
    <n v="11054.61"/>
    <n v="7750"/>
    <n v="3304.61"/>
    <s v="Profit"/>
    <s v="Medium Discount"/>
    <x v="0"/>
    <x v="0"/>
    <n v="3.7"/>
    <s v="Medium Rating"/>
  </r>
  <r>
    <x v="34"/>
    <x v="7"/>
    <x v="2"/>
    <s v="Bengaluru"/>
    <s v="Karnataka"/>
    <s v="South"/>
    <s v="Vikram Rao"/>
    <x v="3"/>
    <s v="Rice 5kg"/>
    <n v="6"/>
    <n v="619.80999999999995"/>
    <n v="10"/>
    <n v="371.88599999999997"/>
    <n v="3346.97"/>
    <n v="3060"/>
    <n v="286.97000000000003"/>
    <s v="Profit"/>
    <s v="Medium Discount"/>
    <x v="2"/>
    <x v="0"/>
    <n v="3.3"/>
    <s v="Medium Rating"/>
  </r>
  <r>
    <x v="35"/>
    <x v="8"/>
    <x v="2"/>
    <s v="Bengaluru"/>
    <s v="Karnataka"/>
    <s v="South"/>
    <s v="Vikram Rao"/>
    <x v="0"/>
    <s v="Smartphone"/>
    <n v="2"/>
    <n v="21289.3"/>
    <n v="0"/>
    <n v="0"/>
    <n v="42578.6"/>
    <n v="32000"/>
    <n v="10578.6"/>
    <s v="Profit"/>
    <s v="No Discount"/>
    <x v="3"/>
    <x v="0"/>
    <n v="3.7"/>
    <s v="Medium Rating"/>
  </r>
  <r>
    <x v="36"/>
    <x v="9"/>
    <x v="3"/>
    <s v="Jaipur"/>
    <s v="Rajasthan"/>
    <s v="West"/>
    <s v="Rajesh Sharma"/>
    <x v="4"/>
    <s v="Dinner Set"/>
    <n v="6"/>
    <n v="2325.25"/>
    <n v="0"/>
    <n v="0"/>
    <n v="13951.5"/>
    <n v="9300"/>
    <n v="4651.5"/>
    <s v="Profit"/>
    <s v="No Discount"/>
    <x v="2"/>
    <x v="0"/>
    <n v="4.0999999999999996"/>
    <s v="Medium Rating"/>
  </r>
  <r>
    <x v="37"/>
    <x v="9"/>
    <x v="5"/>
    <s v="Mumbai"/>
    <s v="Maharashtra"/>
    <s v="West"/>
    <s v="Neha Kapoor"/>
    <x v="1"/>
    <s v="Moisturizer"/>
    <n v="4"/>
    <n v="567.87"/>
    <n v="20"/>
    <n v="454.29599999999999"/>
    <n v="-1817.18"/>
    <n v="1360"/>
    <n v="-3177.18"/>
    <s v="Loss"/>
    <s v="High Discount"/>
    <x v="4"/>
    <x v="2"/>
    <n v="3.7"/>
    <s v="Medium Rating"/>
  </r>
  <r>
    <x v="38"/>
    <x v="10"/>
    <x v="5"/>
    <s v="Mumbai"/>
    <s v="Maharashtra"/>
    <s v="West"/>
    <s v="Neha Kapoor"/>
    <x v="2"/>
    <s v="T-Shirt"/>
    <n v="4"/>
    <n v="919.6"/>
    <n v="10"/>
    <n v="367.84"/>
    <n v="3310.56"/>
    <n v="2000"/>
    <n v="1310.56"/>
    <s v="Profit"/>
    <s v="Medium Discount"/>
    <x v="2"/>
    <x v="0"/>
    <n v="3.1"/>
    <s v="Medium Rating"/>
  </r>
  <r>
    <x v="39"/>
    <x v="10"/>
    <x v="0"/>
    <s v="Delhi"/>
    <s v="Delhi"/>
    <s v="North"/>
    <s v="Amit Verma"/>
    <x v="4"/>
    <s v="Mixer Grinder"/>
    <n v="5"/>
    <n v="3753.76"/>
    <n v="20"/>
    <n v="3753.7600000000007"/>
    <n v="0"/>
    <n v="13500"/>
    <n v="0"/>
    <s v="Break Even"/>
    <s v="High Discount"/>
    <x v="4"/>
    <x v="1"/>
    <m/>
    <s v="Not Rated"/>
  </r>
  <r>
    <x v="40"/>
    <x v="10"/>
    <x v="4"/>
    <s v="Chennai"/>
    <s v="Tamil Nadu"/>
    <s v="South"/>
    <s v="Karthik Iyer"/>
    <x v="4"/>
    <s v="Water Bottle"/>
    <n v="3"/>
    <n v="723.73"/>
    <n v="20"/>
    <n v="434.23800000000006"/>
    <n v="1736.95"/>
    <n v="1200"/>
    <n v="536.95000000000005"/>
    <s v="Profit"/>
    <s v="High Discount"/>
    <x v="0"/>
    <x v="0"/>
    <n v="4.2"/>
    <s v="Medium Rating"/>
  </r>
  <r>
    <x v="41"/>
    <x v="10"/>
    <x v="7"/>
    <s v="Kolkata"/>
    <s v="West Bengal"/>
    <s v="East"/>
    <s v="Priya Sen"/>
    <x v="1"/>
    <s v="Face Wash"/>
    <n v="5"/>
    <n v="352.34"/>
    <n v="15"/>
    <n v="264.25499999999994"/>
    <n v="-1497.44"/>
    <n v="1100"/>
    <n v="-2597.44"/>
    <s v="Loss"/>
    <s v="High Discount"/>
    <x v="2"/>
    <x v="2"/>
    <n v="3.2"/>
    <s v="Medium Rating"/>
  </r>
  <r>
    <x v="42"/>
    <x v="11"/>
    <x v="2"/>
    <s v="Bengaluru"/>
    <s v="Karnataka"/>
    <s v="South"/>
    <s v="Vikram Rao"/>
    <x v="2"/>
    <s v="Sneakers"/>
    <n v="6"/>
    <n v="4256.03"/>
    <n v="15"/>
    <n v="3830.4270000000001"/>
    <n v="21705.75"/>
    <n v="15600"/>
    <n v="6105.75"/>
    <s v="Profit"/>
    <s v="High Discount"/>
    <x v="4"/>
    <x v="0"/>
    <n v="4"/>
    <s v="Medium Rating"/>
  </r>
  <r>
    <x v="43"/>
    <x v="11"/>
    <x v="1"/>
    <s v="Hyderabad"/>
    <s v="Telangana"/>
    <s v="South"/>
    <s v="Anjali Reddy"/>
    <x v="1"/>
    <s v="Face Wash"/>
    <n v="2"/>
    <n v="342.85"/>
    <n v="5"/>
    <n v="34.284999999999997"/>
    <n v="651.41"/>
    <n v="440"/>
    <n v="211.41"/>
    <s v="Profit"/>
    <s v="Low Discount"/>
    <x v="4"/>
    <x v="0"/>
    <n v="3.7"/>
    <s v="Medium Rating"/>
  </r>
  <r>
    <x v="44"/>
    <x v="12"/>
    <x v="6"/>
    <s v="Lucknow"/>
    <s v="Uttar Pradesh"/>
    <s v="North"/>
    <s v="Sanjay Singh"/>
    <x v="0"/>
    <s v="Smartphone"/>
    <n v="3"/>
    <n v="22429.66"/>
    <n v="10"/>
    <n v="6728.8979999999992"/>
    <n v="60560.08"/>
    <n v="48000"/>
    <n v="12560.08"/>
    <s v="Profit"/>
    <s v="Medium Discount"/>
    <x v="1"/>
    <x v="0"/>
    <n v="4.5"/>
    <s v="High Rating"/>
  </r>
  <r>
    <x v="45"/>
    <x v="12"/>
    <x v="3"/>
    <s v="Jaipur"/>
    <s v="Rajasthan"/>
    <s v="West"/>
    <s v="Rajesh Sharma"/>
    <x v="2"/>
    <s v="Sneakers"/>
    <n v="4"/>
    <n v="4014.48"/>
    <n v="5"/>
    <n v="802.89600000000007"/>
    <n v="15255.02"/>
    <n v="10400"/>
    <n v="4855.0200000000004"/>
    <s v="Profit"/>
    <s v="Low Discount"/>
    <x v="0"/>
    <x v="0"/>
    <n v="4.7"/>
    <s v="High Rating"/>
  </r>
  <r>
    <x v="46"/>
    <x v="12"/>
    <x v="6"/>
    <s v="Lucknow"/>
    <s v="Uttar Pradesh"/>
    <s v="North"/>
    <s v="Sanjay Singh"/>
    <x v="1"/>
    <s v="Moisturizer"/>
    <n v="5"/>
    <n v="535.03"/>
    <n v="0"/>
    <n v="0"/>
    <n v="2675.15"/>
    <n v="1700"/>
    <n v="975.15"/>
    <s v="Profit"/>
    <s v="No Discount"/>
    <x v="3"/>
    <x v="0"/>
    <n v="3.5"/>
    <s v="Medium Rating"/>
  </r>
  <r>
    <x v="47"/>
    <x v="13"/>
    <x v="3"/>
    <s v="Jaipur"/>
    <s v="Rajasthan"/>
    <s v="West"/>
    <s v="Rajesh Sharma"/>
    <x v="3"/>
    <s v="Rice 5kg"/>
    <n v="3"/>
    <n v="678.66"/>
    <n v="5"/>
    <n v="101.79899999999999"/>
    <n v="1934.18"/>
    <n v="1530"/>
    <n v="404.18"/>
    <s v="Profit"/>
    <s v="Low Discount"/>
    <x v="4"/>
    <x v="0"/>
    <n v="4.9000000000000004"/>
    <s v="High Rating"/>
  </r>
  <r>
    <x v="48"/>
    <x v="13"/>
    <x v="0"/>
    <s v="Delhi"/>
    <s v="Delhi"/>
    <s v="North"/>
    <s v="Amit Verma"/>
    <x v="1"/>
    <s v="Perfume"/>
    <n v="6"/>
    <n v="1882.66"/>
    <n v="10"/>
    <n v="1129.596"/>
    <n v="10166.36"/>
    <n v="6300"/>
    <n v="3866.36"/>
    <s v="Profit"/>
    <s v="Medium Discount"/>
    <x v="4"/>
    <x v="0"/>
    <n v="4.9000000000000004"/>
    <s v="High Rating"/>
  </r>
  <r>
    <x v="49"/>
    <x v="13"/>
    <x v="0"/>
    <s v="Delhi"/>
    <s v="Delhi"/>
    <s v="North"/>
    <s v="Amit Verma"/>
    <x v="0"/>
    <s v="Smartwatch"/>
    <n v="1"/>
    <n v="4523.96"/>
    <n v="20"/>
    <n v="904.79199999999992"/>
    <n v="3619.17"/>
    <n v="2900"/>
    <n v="719.17"/>
    <s v="Profit"/>
    <s v="High Discount"/>
    <x v="0"/>
    <x v="0"/>
    <n v="3.5"/>
    <s v="Medium Rating"/>
  </r>
  <r>
    <x v="50"/>
    <x v="14"/>
    <x v="3"/>
    <s v="Jaipur"/>
    <s v="Rajasthan"/>
    <s v="West"/>
    <s v="Rajesh Sharma"/>
    <x v="0"/>
    <s v="Laptop"/>
    <n v="6"/>
    <n v="52856.36"/>
    <n v="20"/>
    <n v="63427.632000000012"/>
    <n v="253710.53"/>
    <n v="252000"/>
    <n v="1710.53"/>
    <s v="Profit"/>
    <s v="High Discount"/>
    <x v="2"/>
    <x v="0"/>
    <n v="3.7"/>
    <s v="Medium Rating"/>
  </r>
  <r>
    <x v="51"/>
    <x v="15"/>
    <x v="4"/>
    <s v="Chennai"/>
    <s v="Tamil Nadu"/>
    <s v="South"/>
    <s v="Karthik Iyer"/>
    <x v="1"/>
    <s v="Shampoo"/>
    <n v="4"/>
    <n v="445.26"/>
    <n v="20"/>
    <n v="356.20800000000003"/>
    <n v="1424.83"/>
    <n v="1160"/>
    <n v="264.83"/>
    <s v="Profit"/>
    <s v="High Discount"/>
    <x v="3"/>
    <x v="0"/>
    <n v="3.3"/>
    <s v="Medium Rating"/>
  </r>
  <r>
    <x v="52"/>
    <x v="15"/>
    <x v="2"/>
    <s v="Bengaluru"/>
    <s v="Karnataka"/>
    <s v="South"/>
    <s v="Vikram Rao"/>
    <x v="2"/>
    <s v="Jeans"/>
    <n v="1"/>
    <n v="1790"/>
    <n v="10"/>
    <n v="179"/>
    <n v="1611"/>
    <n v="1050"/>
    <n v="561"/>
    <s v="Profit"/>
    <s v="Medium Discount"/>
    <x v="0"/>
    <x v="0"/>
    <n v="3.8"/>
    <s v="Medium Rating"/>
  </r>
  <r>
    <x v="53"/>
    <x v="16"/>
    <x v="7"/>
    <s v="Kolkata"/>
    <s v="West Bengal"/>
    <s v="East"/>
    <s v="Priya Sen"/>
    <x v="3"/>
    <s v="Biscuits Pack"/>
    <n v="5"/>
    <n v="104.51"/>
    <n v="10"/>
    <n v="52.25500000000001"/>
    <n v="470.3"/>
    <n v="360"/>
    <n v="110.3"/>
    <s v="Profit"/>
    <s v="Medium Discount"/>
    <x v="2"/>
    <x v="0"/>
    <n v="4.7"/>
    <s v="High Rating"/>
  </r>
  <r>
    <x v="54"/>
    <x v="16"/>
    <x v="6"/>
    <s v="Lucknow"/>
    <s v="Uttar Pradesh"/>
    <s v="North"/>
    <s v="Sanjay Singh"/>
    <x v="0"/>
    <s v="Headphones"/>
    <n v="2"/>
    <n v="1827.23"/>
    <n v="10"/>
    <n v="365.44599999999997"/>
    <n v="3289.01"/>
    <n v="2200"/>
    <n v="1089.01"/>
    <s v="Profit"/>
    <s v="Medium Discount"/>
    <x v="0"/>
    <x v="0"/>
    <n v="4.8"/>
    <s v="High Rating"/>
  </r>
  <r>
    <x v="55"/>
    <x v="17"/>
    <x v="4"/>
    <s v="Chennai"/>
    <s v="Tamil Nadu"/>
    <s v="South"/>
    <s v="Karthik Iyer"/>
    <x v="3"/>
    <s v="Biscuits Pack"/>
    <n v="5"/>
    <n v="101.35"/>
    <n v="5"/>
    <n v="25.337499999999999"/>
    <n v="481.41"/>
    <n v="360"/>
    <n v="121.41"/>
    <s v="Profit"/>
    <s v="Low Discount"/>
    <x v="2"/>
    <x v="0"/>
    <n v="4.9000000000000004"/>
    <s v="High Rating"/>
  </r>
  <r>
    <x v="56"/>
    <x v="18"/>
    <x v="5"/>
    <s v="Mumbai"/>
    <s v="Maharashtra"/>
    <s v="West"/>
    <s v="Neha Kapoor"/>
    <x v="4"/>
    <s v="Mixer Grinder"/>
    <n v="3"/>
    <n v="3818.05"/>
    <n v="10"/>
    <n v="1145.4150000000002"/>
    <n v="10308.74"/>
    <n v="8100"/>
    <n v="2208.7399999999998"/>
    <s v="Profit"/>
    <s v="Medium Discount"/>
    <x v="3"/>
    <x v="0"/>
    <n v="4.2"/>
    <s v="Medium Rating"/>
  </r>
  <r>
    <x v="57"/>
    <x v="19"/>
    <x v="2"/>
    <s v="Bengaluru"/>
    <s v="Karnataka"/>
    <s v="South"/>
    <s v="Vikram Rao"/>
    <x v="1"/>
    <s v="Moisturizer"/>
    <n v="2"/>
    <n v="544.02"/>
    <n v="0"/>
    <n v="0"/>
    <n v="1088.04"/>
    <n v="680"/>
    <n v="408.04"/>
    <s v="Profit"/>
    <s v="No Discount"/>
    <x v="4"/>
    <x v="0"/>
    <n v="3.7"/>
    <s v="Medium Rating"/>
  </r>
  <r>
    <x v="58"/>
    <x v="19"/>
    <x v="1"/>
    <s v="Hyderabad"/>
    <s v="Telangana"/>
    <s v="South"/>
    <s v="Anjali Reddy"/>
    <x v="0"/>
    <s v="Laptop"/>
    <n v="6"/>
    <n v="53315.63"/>
    <n v="15"/>
    <n v="47984.066999999995"/>
    <n v="271909.71000000002"/>
    <n v="252000"/>
    <n v="19909.71"/>
    <s v="Profit"/>
    <s v="High Discount"/>
    <x v="2"/>
    <x v="0"/>
    <n v="3.4"/>
    <s v="Medium Rating"/>
  </r>
  <r>
    <x v="59"/>
    <x v="19"/>
    <x v="1"/>
    <s v="Hyderabad"/>
    <s v="Telangana"/>
    <s v="South"/>
    <s v="Anjali Reddy"/>
    <x v="2"/>
    <s v="T-Shirt"/>
    <n v="1"/>
    <n v="891.49"/>
    <n v="5"/>
    <n v="44.5745"/>
    <n v="846.92"/>
    <n v="500"/>
    <n v="346.92"/>
    <s v="Profit"/>
    <s v="Low Discount"/>
    <x v="0"/>
    <x v="0"/>
    <n v="4.5999999999999996"/>
    <s v="High Rating"/>
  </r>
  <r>
    <x v="60"/>
    <x v="19"/>
    <x v="7"/>
    <s v="Kolkata"/>
    <s v="West Bengal"/>
    <s v="East"/>
    <s v="Priya Sen"/>
    <x v="4"/>
    <s v="Coffee Maker"/>
    <n v="3"/>
    <n v="5171.8900000000003"/>
    <n v="0"/>
    <n v="0"/>
    <n v="15515.67"/>
    <n v="10800"/>
    <n v="4715.67"/>
    <s v="Profit"/>
    <s v="No Discount"/>
    <x v="4"/>
    <x v="0"/>
    <n v="4.8"/>
    <s v="High Rating"/>
  </r>
  <r>
    <x v="61"/>
    <x v="19"/>
    <x v="3"/>
    <s v="Jaipur"/>
    <s v="Rajasthan"/>
    <s v="West"/>
    <s v="Rajesh Sharma"/>
    <x v="1"/>
    <s v="Shampoo"/>
    <n v="1"/>
    <n v="441.44"/>
    <n v="10"/>
    <n v="44.143999999999998"/>
    <n v="397.3"/>
    <n v="290"/>
    <n v="107.3"/>
    <s v="Profit"/>
    <s v="Medium Discount"/>
    <x v="4"/>
    <x v="0"/>
    <n v="3.6"/>
    <s v="Medium Rating"/>
  </r>
  <r>
    <x v="62"/>
    <x v="20"/>
    <x v="7"/>
    <s v="Kolkata"/>
    <s v="West Bengal"/>
    <s v="East"/>
    <s v="Priya Sen"/>
    <x v="1"/>
    <s v="Shampoo"/>
    <n v="5"/>
    <n v="432.5"/>
    <n v="0"/>
    <n v="0"/>
    <n v="2162.5"/>
    <n v="1450"/>
    <n v="712.5"/>
    <s v="Profit"/>
    <s v="No Discount"/>
    <x v="4"/>
    <x v="0"/>
    <n v="3.9"/>
    <s v="Medium Rating"/>
  </r>
  <r>
    <x v="63"/>
    <x v="20"/>
    <x v="7"/>
    <s v="Kolkata"/>
    <s v="West Bengal"/>
    <s v="East"/>
    <s v="Priya Sen"/>
    <x v="3"/>
    <s v="Rice 5kg"/>
    <n v="6"/>
    <n v="644.80999999999995"/>
    <n v="5"/>
    <n v="193.44299999999998"/>
    <n v="3675.42"/>
    <n v="3060"/>
    <n v="615.41999999999996"/>
    <s v="Profit"/>
    <s v="Low Discount"/>
    <x v="2"/>
    <x v="0"/>
    <n v="4.8"/>
    <s v="High Rating"/>
  </r>
  <r>
    <x v="64"/>
    <x v="21"/>
    <x v="5"/>
    <s v="Mumbai"/>
    <s v="Maharashtra"/>
    <s v="West"/>
    <s v="Neha Kapoor"/>
    <x v="2"/>
    <s v="Sneakers"/>
    <n v="2"/>
    <n v="4258.75"/>
    <n v="0"/>
    <n v="0"/>
    <n v="8517.5"/>
    <n v="5200"/>
    <n v="3317.5"/>
    <s v="Profit"/>
    <s v="No Discount"/>
    <x v="0"/>
    <x v="0"/>
    <n v="4.9000000000000004"/>
    <s v="High Rating"/>
  </r>
  <r>
    <x v="65"/>
    <x v="22"/>
    <x v="6"/>
    <s v="Lucknow"/>
    <s v="Uttar Pradesh"/>
    <s v="North"/>
    <s v="Sanjay Singh"/>
    <x v="0"/>
    <s v="Headphones"/>
    <n v="2"/>
    <n v="1806.26"/>
    <n v="10"/>
    <n v="361.25199999999995"/>
    <n v="3251.27"/>
    <n v="2200"/>
    <n v="1051.27"/>
    <s v="Profit"/>
    <s v="Medium Discount"/>
    <x v="1"/>
    <x v="0"/>
    <n v="3.1"/>
    <s v="Medium Rating"/>
  </r>
  <r>
    <x v="66"/>
    <x v="23"/>
    <x v="6"/>
    <s v="Lucknow"/>
    <s v="Uttar Pradesh"/>
    <s v="North"/>
    <s v="Sanjay Singh"/>
    <x v="1"/>
    <s v="Perfume"/>
    <n v="4"/>
    <n v="1820.4"/>
    <n v="0"/>
    <n v="0"/>
    <n v="7281.6"/>
    <n v="4200"/>
    <n v="3081.6"/>
    <s v="Profit"/>
    <s v="No Discount"/>
    <x v="1"/>
    <x v="0"/>
    <n v="3.6"/>
    <s v="Medium Rating"/>
  </r>
  <r>
    <x v="67"/>
    <x v="23"/>
    <x v="3"/>
    <s v="Jaipur"/>
    <s v="Rajasthan"/>
    <s v="West"/>
    <s v="Rajesh Sharma"/>
    <x v="1"/>
    <s v="Moisturizer"/>
    <n v="5"/>
    <n v="544.57000000000005"/>
    <n v="10"/>
    <n v="272.28500000000003"/>
    <n v="2450.5700000000002"/>
    <n v="1700"/>
    <n v="750.57"/>
    <s v="Profit"/>
    <s v="Medium Discount"/>
    <x v="4"/>
    <x v="0"/>
    <n v="4.7"/>
    <s v="High Rating"/>
  </r>
  <r>
    <x v="68"/>
    <x v="24"/>
    <x v="1"/>
    <s v="Hyderabad"/>
    <s v="Telangana"/>
    <s v="South"/>
    <s v="Anjali Reddy"/>
    <x v="1"/>
    <s v="Shampoo"/>
    <n v="6"/>
    <n v="429.1"/>
    <n v="20"/>
    <n v="514.92000000000007"/>
    <n v="2059.6799999999998"/>
    <n v="1740"/>
    <n v="319.68"/>
    <s v="Profit"/>
    <s v="High Discount"/>
    <x v="1"/>
    <x v="0"/>
    <n v="4"/>
    <s v="Medium Rating"/>
  </r>
  <r>
    <x v="69"/>
    <x v="24"/>
    <x v="2"/>
    <s v="Bengaluru"/>
    <s v="Karnataka"/>
    <s v="South"/>
    <s v="Vikram Rao"/>
    <x v="4"/>
    <s v="Mixer Grinder"/>
    <n v="1"/>
    <n v="3783.8"/>
    <n v="10"/>
    <n v="378.38"/>
    <n v="3405.42"/>
    <n v="2700"/>
    <n v="705.42"/>
    <s v="Profit"/>
    <s v="Medium Discount"/>
    <x v="1"/>
    <x v="0"/>
    <n v="5"/>
    <s v="High Rating"/>
  </r>
  <r>
    <x v="70"/>
    <x v="24"/>
    <x v="3"/>
    <s v="Jaipur"/>
    <s v="Rajasthan"/>
    <s v="West"/>
    <s v="Rajesh Sharma"/>
    <x v="2"/>
    <s v="Jeans"/>
    <n v="2"/>
    <n v="1848.47"/>
    <n v="10"/>
    <n v="369.69400000000002"/>
    <n v="0"/>
    <n v="2100"/>
    <n v="0"/>
    <s v="Break Even"/>
    <s v="Medium Discount"/>
    <x v="2"/>
    <x v="1"/>
    <m/>
    <s v="Not Rated"/>
  </r>
  <r>
    <x v="71"/>
    <x v="25"/>
    <x v="4"/>
    <s v="Chennai"/>
    <s v="Tamil Nadu"/>
    <s v="South"/>
    <s v="Karthik Iyer"/>
    <x v="1"/>
    <s v="Face Wash"/>
    <n v="5"/>
    <n v="355.15"/>
    <n v="0"/>
    <n v="0"/>
    <n v="-1775.75"/>
    <n v="1100"/>
    <n v="-2875.75"/>
    <s v="Loss"/>
    <s v="No Discount"/>
    <x v="2"/>
    <x v="2"/>
    <n v="4.8"/>
    <s v="High Rating"/>
  </r>
  <r>
    <x v="72"/>
    <x v="25"/>
    <x v="4"/>
    <s v="Chennai"/>
    <s v="Tamil Nadu"/>
    <s v="South"/>
    <s v="Karthik Iyer"/>
    <x v="0"/>
    <s v="Smartwatch"/>
    <n v="3"/>
    <n v="4328.03"/>
    <n v="15"/>
    <n v="1947.6135000000002"/>
    <n v="11036.48"/>
    <n v="8700"/>
    <n v="2336.48"/>
    <s v="Profit"/>
    <s v="High Discount"/>
    <x v="3"/>
    <x v="0"/>
    <n v="3.4"/>
    <s v="Medium Rating"/>
  </r>
  <r>
    <x v="73"/>
    <x v="25"/>
    <x v="1"/>
    <s v="Hyderabad"/>
    <s v="Telangana"/>
    <s v="South"/>
    <s v="Anjali Reddy"/>
    <x v="2"/>
    <s v="Jeans"/>
    <n v="4"/>
    <n v="1757.8"/>
    <n v="15"/>
    <n v="1054.68"/>
    <n v="5976.52"/>
    <n v="4200"/>
    <n v="1776.52"/>
    <s v="Profit"/>
    <s v="High Discount"/>
    <x v="3"/>
    <x v="0"/>
    <n v="3.3"/>
    <s v="Medium Rating"/>
  </r>
  <r>
    <x v="74"/>
    <x v="26"/>
    <x v="1"/>
    <s v="Hyderabad"/>
    <s v="Telangana"/>
    <s v="South"/>
    <s v="Anjali Reddy"/>
    <x v="2"/>
    <s v="Jeans"/>
    <n v="2"/>
    <n v="1834.74"/>
    <n v="5"/>
    <n v="183.47400000000002"/>
    <n v="3486.01"/>
    <n v="2100"/>
    <n v="1386.01"/>
    <s v="Profit"/>
    <s v="Low Discount"/>
    <x v="2"/>
    <x v="0"/>
    <n v="3.8"/>
    <s v="Medium Rating"/>
  </r>
  <r>
    <x v="75"/>
    <x v="26"/>
    <x v="1"/>
    <s v="Hyderabad"/>
    <s v="Telangana"/>
    <s v="South"/>
    <s v="Anjali Reddy"/>
    <x v="4"/>
    <s v="Mixer Grinder"/>
    <n v="6"/>
    <n v="3798.82"/>
    <n v="0"/>
    <n v="0"/>
    <n v="22792.92"/>
    <n v="16200"/>
    <n v="6592.92"/>
    <s v="Profit"/>
    <s v="No Discount"/>
    <x v="2"/>
    <x v="0"/>
    <n v="4.5"/>
    <s v="High Rating"/>
  </r>
  <r>
    <x v="76"/>
    <x v="26"/>
    <x v="6"/>
    <s v="Lucknow"/>
    <s v="Uttar Pradesh"/>
    <s v="North"/>
    <s v="Sanjay Singh"/>
    <x v="0"/>
    <s v="Laptop"/>
    <n v="1"/>
    <n v="57447.85"/>
    <n v="5"/>
    <n v="2872.3924999999999"/>
    <n v="54575.46"/>
    <n v="42000"/>
    <n v="12575.46"/>
    <s v="Profit"/>
    <s v="Low Discount"/>
    <x v="0"/>
    <x v="0"/>
    <n v="4.5999999999999996"/>
    <s v="High Rating"/>
  </r>
  <r>
    <x v="77"/>
    <x v="26"/>
    <x v="4"/>
    <s v="Chennai"/>
    <s v="Tamil Nadu"/>
    <s v="South"/>
    <s v="Karthik Iyer"/>
    <x v="4"/>
    <s v="Water Bottle"/>
    <n v="3"/>
    <n v="720.72"/>
    <n v="0"/>
    <n v="0"/>
    <n v="2162.16"/>
    <n v="1200"/>
    <n v="962.16"/>
    <s v="Profit"/>
    <s v="No Discount"/>
    <x v="2"/>
    <x v="0"/>
    <n v="3.1"/>
    <s v="Medium Rating"/>
  </r>
  <r>
    <x v="78"/>
    <x v="27"/>
    <x v="0"/>
    <s v="Delhi"/>
    <s v="Delhi"/>
    <s v="North"/>
    <s v="Amit Verma"/>
    <x v="3"/>
    <s v="Rice 5kg"/>
    <n v="1"/>
    <n v="679.57"/>
    <n v="5"/>
    <n v="33.978500000000004"/>
    <n v="645.59"/>
    <n v="510"/>
    <n v="135.59"/>
    <s v="Profit"/>
    <s v="Low Discount"/>
    <x v="4"/>
    <x v="0"/>
    <n v="3.1"/>
    <s v="Medium Rating"/>
  </r>
  <r>
    <x v="79"/>
    <x v="27"/>
    <x v="3"/>
    <s v="Jaipur"/>
    <s v="Rajasthan"/>
    <s v="West"/>
    <s v="Rajesh Sharma"/>
    <x v="0"/>
    <s v="Headphones"/>
    <n v="3"/>
    <n v="1846.14"/>
    <n v="0"/>
    <n v="0"/>
    <n v="-5538.42"/>
    <n v="3300"/>
    <n v="-8838.42"/>
    <s v="Loss"/>
    <s v="No Discount"/>
    <x v="2"/>
    <x v="2"/>
    <n v="4.3"/>
    <s v="Medium Rating"/>
  </r>
  <r>
    <x v="80"/>
    <x v="28"/>
    <x v="7"/>
    <s v="Kolkata"/>
    <s v="West Bengal"/>
    <s v="East"/>
    <s v="Priya Sen"/>
    <x v="1"/>
    <s v="Shampoo"/>
    <n v="1"/>
    <n v="472.01"/>
    <n v="10"/>
    <n v="47.201000000000001"/>
    <n v="424.81"/>
    <n v="290"/>
    <n v="134.81"/>
    <s v="Profit"/>
    <s v="Medium Discount"/>
    <x v="4"/>
    <x v="0"/>
    <n v="3.5"/>
    <s v="Medium Rating"/>
  </r>
  <r>
    <x v="81"/>
    <x v="29"/>
    <x v="7"/>
    <s v="Kolkata"/>
    <s v="West Bengal"/>
    <s v="East"/>
    <s v="Priya Sen"/>
    <x v="4"/>
    <s v="Dinner Set"/>
    <n v="3"/>
    <n v="2343.73"/>
    <n v="0"/>
    <n v="0"/>
    <n v="7031.19"/>
    <n v="4650"/>
    <n v="2381.19"/>
    <s v="Profit"/>
    <s v="No Discount"/>
    <x v="2"/>
    <x v="0"/>
    <n v="3.5"/>
    <s v="Medium Rating"/>
  </r>
  <r>
    <x v="82"/>
    <x v="29"/>
    <x v="1"/>
    <s v="Hyderabad"/>
    <s v="Telangana"/>
    <s v="South"/>
    <s v="Anjali Reddy"/>
    <x v="1"/>
    <s v="Face Wash"/>
    <n v="3"/>
    <n v="339.48"/>
    <n v="0"/>
    <n v="0"/>
    <n v="1018.44"/>
    <n v="660"/>
    <n v="358.44"/>
    <s v="Profit"/>
    <s v="No Discount"/>
    <x v="3"/>
    <x v="0"/>
    <n v="4.2"/>
    <s v="Medium Rating"/>
  </r>
  <r>
    <x v="83"/>
    <x v="30"/>
    <x v="4"/>
    <s v="Chennai"/>
    <s v="Tamil Nadu"/>
    <s v="South"/>
    <s v="Karthik Iyer"/>
    <x v="2"/>
    <s v="Sneakers"/>
    <n v="4"/>
    <n v="4076.68"/>
    <n v="5"/>
    <n v="815.3359999999999"/>
    <n v="15491.38"/>
    <n v="10400"/>
    <n v="5091.38"/>
    <s v="Profit"/>
    <s v="Low Discount"/>
    <x v="0"/>
    <x v="0"/>
    <n v="3.2"/>
    <s v="Medium Rating"/>
  </r>
  <r>
    <x v="84"/>
    <x v="30"/>
    <x v="0"/>
    <s v="Delhi"/>
    <s v="Delhi"/>
    <s v="North"/>
    <s v="Amit Verma"/>
    <x v="0"/>
    <s v="Smartphone"/>
    <n v="5"/>
    <n v="22992.400000000001"/>
    <n v="5"/>
    <n v="5748.1"/>
    <n v="-109213.9"/>
    <n v="80000"/>
    <n v="-189213.9"/>
    <s v="Loss"/>
    <s v="Low Discount"/>
    <x v="0"/>
    <x v="2"/>
    <n v="4.5999999999999996"/>
    <s v="High Rating"/>
  </r>
  <r>
    <x v="85"/>
    <x v="30"/>
    <x v="3"/>
    <s v="Jaipur"/>
    <s v="Rajasthan"/>
    <s v="West"/>
    <s v="Rajesh Sharma"/>
    <x v="2"/>
    <s v="Jacket"/>
    <n v="3"/>
    <n v="3050.45"/>
    <n v="20"/>
    <n v="1830.2699999999998"/>
    <n v="7321.08"/>
    <n v="5700"/>
    <n v="1621.08"/>
    <s v="Profit"/>
    <s v="High Discount"/>
    <x v="3"/>
    <x v="0"/>
    <n v="3.2"/>
    <s v="Medium Rating"/>
  </r>
  <r>
    <x v="86"/>
    <x v="31"/>
    <x v="7"/>
    <s v="Kolkata"/>
    <s v="West Bengal"/>
    <s v="East"/>
    <s v="Priya Sen"/>
    <x v="0"/>
    <s v="Smartphone"/>
    <n v="1"/>
    <n v="21325.31"/>
    <n v="15"/>
    <n v="3198.7965000000004"/>
    <n v="18126.509999999998"/>
    <n v="16000"/>
    <n v="2126.5100000000002"/>
    <s v="Profit"/>
    <s v="High Discount"/>
    <x v="1"/>
    <x v="0"/>
    <n v="3.8"/>
    <s v="Medium Rating"/>
  </r>
  <r>
    <x v="87"/>
    <x v="32"/>
    <x v="0"/>
    <s v="Delhi"/>
    <s v="Delhi"/>
    <s v="North"/>
    <s v="Amit Verma"/>
    <x v="0"/>
    <s v="Smartwatch"/>
    <n v="1"/>
    <n v="4331.5600000000004"/>
    <n v="10"/>
    <n v="433.15600000000006"/>
    <n v="3898.4"/>
    <n v="2900"/>
    <n v="998.4"/>
    <s v="Profit"/>
    <s v="Medium Discount"/>
    <x v="4"/>
    <x v="0"/>
    <n v="4.9000000000000004"/>
    <s v="High Rating"/>
  </r>
  <r>
    <x v="88"/>
    <x v="32"/>
    <x v="7"/>
    <s v="Kolkata"/>
    <s v="West Bengal"/>
    <s v="East"/>
    <s v="Priya Sen"/>
    <x v="3"/>
    <s v="Cooking Oil 1L"/>
    <n v="5"/>
    <n v="146.78"/>
    <n v="5"/>
    <n v="36.695"/>
    <n v="0"/>
    <n v="600"/>
    <n v="0"/>
    <s v="Break Even"/>
    <s v="Low Discount"/>
    <x v="3"/>
    <x v="1"/>
    <m/>
    <s v="Not Rated"/>
  </r>
  <r>
    <x v="89"/>
    <x v="32"/>
    <x v="2"/>
    <s v="Bengaluru"/>
    <s v="Karnataka"/>
    <s v="South"/>
    <s v="Vikram Rao"/>
    <x v="1"/>
    <s v="Perfume"/>
    <n v="1"/>
    <n v="1846.1"/>
    <n v="10"/>
    <n v="184.61"/>
    <n v="1661.49"/>
    <n v="1050"/>
    <n v="611.49"/>
    <s v="Profit"/>
    <s v="Medium Discount"/>
    <x v="4"/>
    <x v="0"/>
    <n v="4.5"/>
    <s v="High Rating"/>
  </r>
  <r>
    <x v="90"/>
    <x v="33"/>
    <x v="0"/>
    <s v="Delhi"/>
    <s v="Delhi"/>
    <s v="North"/>
    <s v="Amit Verma"/>
    <x v="2"/>
    <s v="Sneakers"/>
    <n v="4"/>
    <n v="4043.95"/>
    <n v="10"/>
    <n v="1617.58"/>
    <n v="14558.22"/>
    <n v="10400"/>
    <n v="4158.22"/>
    <s v="Profit"/>
    <s v="Medium Discount"/>
    <x v="2"/>
    <x v="0"/>
    <n v="3.8"/>
    <s v="Medium Rating"/>
  </r>
  <r>
    <x v="91"/>
    <x v="33"/>
    <x v="0"/>
    <s v="Delhi"/>
    <s v="Delhi"/>
    <s v="North"/>
    <s v="Amit Verma"/>
    <x v="1"/>
    <s v="Perfume"/>
    <n v="4"/>
    <n v="1718.42"/>
    <n v="15"/>
    <n v="1031.0520000000001"/>
    <n v="-5842.63"/>
    <n v="4200"/>
    <n v="-10042.629999999999"/>
    <s v="Loss"/>
    <s v="High Discount"/>
    <x v="0"/>
    <x v="2"/>
    <n v="4.0999999999999996"/>
    <s v="Medium Rating"/>
  </r>
  <r>
    <x v="92"/>
    <x v="33"/>
    <x v="7"/>
    <s v="Kolkata"/>
    <s v="West Bengal"/>
    <s v="East"/>
    <s v="Priya Sen"/>
    <x v="1"/>
    <s v="Perfume"/>
    <n v="5"/>
    <n v="1719.64"/>
    <n v="5"/>
    <n v="429.91"/>
    <n v="8168.29"/>
    <n v="5250"/>
    <n v="2918.29"/>
    <s v="Profit"/>
    <s v="Low Discount"/>
    <x v="4"/>
    <x v="0"/>
    <n v="4.8"/>
    <s v="High Rating"/>
  </r>
  <r>
    <x v="93"/>
    <x v="34"/>
    <x v="3"/>
    <s v="Jaipur"/>
    <s v="Rajasthan"/>
    <s v="West"/>
    <s v="Rajesh Sharma"/>
    <x v="2"/>
    <s v="Jeans"/>
    <n v="3"/>
    <n v="1807.04"/>
    <n v="5"/>
    <n v="271.05599999999998"/>
    <n v="5150.0600000000004"/>
    <n v="3150"/>
    <n v="2000.06"/>
    <s v="Profit"/>
    <s v="Low Discount"/>
    <x v="1"/>
    <x v="0"/>
    <n v="3.2"/>
    <s v="Medium Rating"/>
  </r>
  <r>
    <x v="94"/>
    <x v="34"/>
    <x v="5"/>
    <s v="Mumbai"/>
    <s v="Maharashtra"/>
    <s v="West"/>
    <s v="Neha Kapoor"/>
    <x v="0"/>
    <s v="Smartphone"/>
    <n v="2"/>
    <n v="22000.1"/>
    <n v="10"/>
    <n v="4400.0200000000004"/>
    <n v="39600.18"/>
    <n v="32000"/>
    <n v="7600.18"/>
    <s v="Profit"/>
    <s v="Medium Discount"/>
    <x v="4"/>
    <x v="0"/>
    <n v="3.3"/>
    <s v="Medium Rating"/>
  </r>
  <r>
    <x v="95"/>
    <x v="35"/>
    <x v="1"/>
    <s v="Hyderabad"/>
    <s v="Telangana"/>
    <s v="South"/>
    <s v="Anjali Reddy"/>
    <x v="1"/>
    <s v="Shampoo"/>
    <n v="1"/>
    <n v="433.74"/>
    <n v="15"/>
    <n v="65.061000000000007"/>
    <n v="368.68"/>
    <n v="290"/>
    <n v="78.680000000000007"/>
    <s v="Profit"/>
    <s v="High Discount"/>
    <x v="0"/>
    <x v="0"/>
    <n v="4.4000000000000004"/>
    <s v="Medium Rating"/>
  </r>
  <r>
    <x v="96"/>
    <x v="35"/>
    <x v="7"/>
    <s v="Kolkata"/>
    <s v="West Bengal"/>
    <s v="East"/>
    <s v="Priya Sen"/>
    <x v="0"/>
    <s v="Laptop"/>
    <n v="6"/>
    <n v="55666.559999999998"/>
    <n v="5"/>
    <n v="16699.967999999997"/>
    <n v="317299.39"/>
    <n v="252000"/>
    <n v="65299.39"/>
    <s v="Profit"/>
    <s v="Low Discount"/>
    <x v="2"/>
    <x v="0"/>
    <n v="4.7"/>
    <s v="High Rating"/>
  </r>
  <r>
    <x v="97"/>
    <x v="35"/>
    <x v="7"/>
    <s v="Kolkata"/>
    <s v="West Bengal"/>
    <s v="East"/>
    <s v="Priya Sen"/>
    <x v="4"/>
    <s v="Water Bottle"/>
    <n v="1"/>
    <n v="691"/>
    <n v="0"/>
    <n v="0"/>
    <n v="-691"/>
    <n v="400"/>
    <n v="-1091"/>
    <s v="Loss"/>
    <s v="No Discount"/>
    <x v="2"/>
    <x v="2"/>
    <n v="4.3"/>
    <s v="Medium Rating"/>
  </r>
  <r>
    <x v="98"/>
    <x v="36"/>
    <x v="1"/>
    <s v="Hyderabad"/>
    <s v="Telangana"/>
    <s v="South"/>
    <s v="Anjali Reddy"/>
    <x v="0"/>
    <s v="Headphones"/>
    <n v="1"/>
    <n v="1889.28"/>
    <n v="10"/>
    <n v="188.928"/>
    <n v="1700.35"/>
    <n v="1100"/>
    <n v="600.35"/>
    <s v="Profit"/>
    <s v="Medium Discount"/>
    <x v="0"/>
    <x v="0"/>
    <n v="4.7"/>
    <s v="High Rating"/>
  </r>
  <r>
    <x v="99"/>
    <x v="37"/>
    <x v="0"/>
    <s v="Delhi"/>
    <s v="Delhi"/>
    <s v="North"/>
    <s v="Amit Verma"/>
    <x v="1"/>
    <s v="Shampoo"/>
    <n v="2"/>
    <n v="461.67"/>
    <n v="15"/>
    <n v="138.501"/>
    <n v="784.84"/>
    <n v="580"/>
    <n v="204.84"/>
    <s v="Profit"/>
    <s v="High Discount"/>
    <x v="3"/>
    <x v="0"/>
    <n v="4.9000000000000004"/>
    <s v="High Rating"/>
  </r>
  <r>
    <x v="100"/>
    <x v="37"/>
    <x v="6"/>
    <s v="Lucknow"/>
    <s v="Uttar Pradesh"/>
    <s v="North"/>
    <s v="Sanjay Singh"/>
    <x v="0"/>
    <s v="Headphones"/>
    <n v="3"/>
    <n v="1838.32"/>
    <n v="5"/>
    <n v="275.74799999999999"/>
    <n v="5239.21"/>
    <n v="3300"/>
    <n v="1939.21"/>
    <s v="Profit"/>
    <s v="Low Discount"/>
    <x v="3"/>
    <x v="0"/>
    <n v="3.7"/>
    <s v="Medium Rating"/>
  </r>
  <r>
    <x v="101"/>
    <x v="37"/>
    <x v="6"/>
    <s v="Lucknow"/>
    <s v="Uttar Pradesh"/>
    <s v="North"/>
    <s v="Sanjay Singh"/>
    <x v="1"/>
    <s v="Moisturizer"/>
    <n v="3"/>
    <n v="552.26"/>
    <n v="10"/>
    <n v="165.678"/>
    <n v="-1491.1"/>
    <n v="1020"/>
    <n v="-2511.1"/>
    <s v="Loss"/>
    <s v="Medium Discount"/>
    <x v="1"/>
    <x v="2"/>
    <n v="4.5"/>
    <s v="High Rating"/>
  </r>
  <r>
    <x v="102"/>
    <x v="38"/>
    <x v="1"/>
    <s v="Hyderabad"/>
    <s v="Telangana"/>
    <s v="South"/>
    <s v="Anjali Reddy"/>
    <x v="2"/>
    <s v="Jacket"/>
    <n v="1"/>
    <n v="3228.28"/>
    <n v="15"/>
    <n v="484.24200000000002"/>
    <n v="2744.04"/>
    <n v="1900"/>
    <n v="844.04"/>
    <s v="Profit"/>
    <s v="High Discount"/>
    <x v="3"/>
    <x v="0"/>
    <n v="3"/>
    <s v="Medium Rating"/>
  </r>
  <r>
    <x v="103"/>
    <x v="39"/>
    <x v="3"/>
    <s v="Jaipur"/>
    <s v="Rajasthan"/>
    <s v="West"/>
    <s v="Rajesh Sharma"/>
    <x v="4"/>
    <s v="Coffee Maker"/>
    <n v="3"/>
    <n v="5017.78"/>
    <n v="5"/>
    <n v="752.66699999999992"/>
    <n v="14300.67"/>
    <n v="10800"/>
    <n v="3500.67"/>
    <s v="Profit"/>
    <s v="Low Discount"/>
    <x v="1"/>
    <x v="0"/>
    <n v="4.4000000000000004"/>
    <s v="Medium Rating"/>
  </r>
  <r>
    <x v="104"/>
    <x v="39"/>
    <x v="3"/>
    <s v="Jaipur"/>
    <s v="Rajasthan"/>
    <s v="West"/>
    <s v="Rajesh Sharma"/>
    <x v="1"/>
    <s v="Shampoo"/>
    <n v="6"/>
    <n v="460.51"/>
    <n v="10"/>
    <n v="276.30599999999998"/>
    <n v="2486.75"/>
    <n v="1740"/>
    <n v="746.75"/>
    <s v="Profit"/>
    <s v="Medium Discount"/>
    <x v="3"/>
    <x v="0"/>
    <n v="4.5999999999999996"/>
    <s v="High Rating"/>
  </r>
  <r>
    <x v="105"/>
    <x v="40"/>
    <x v="2"/>
    <s v="Bengaluru"/>
    <s v="Karnataka"/>
    <s v="South"/>
    <s v="Vikram Rao"/>
    <x v="1"/>
    <s v="Face Wash"/>
    <n v="2"/>
    <n v="339.73"/>
    <n v="5"/>
    <n v="33.972999999999999"/>
    <n v="645.49"/>
    <n v="440"/>
    <n v="205.49"/>
    <s v="Profit"/>
    <s v="Low Discount"/>
    <x v="3"/>
    <x v="0"/>
    <n v="4.8"/>
    <s v="High Rating"/>
  </r>
  <r>
    <x v="106"/>
    <x v="40"/>
    <x v="1"/>
    <s v="Hyderabad"/>
    <s v="Telangana"/>
    <s v="South"/>
    <s v="Anjali Reddy"/>
    <x v="3"/>
    <s v="Biscuits Pack"/>
    <n v="3"/>
    <n v="103.43"/>
    <n v="20"/>
    <n v="62.058"/>
    <n v="248.23"/>
    <n v="216"/>
    <n v="32.229999999999997"/>
    <s v="Profit"/>
    <s v="High Discount"/>
    <x v="3"/>
    <x v="0"/>
    <n v="4.0999999999999996"/>
    <s v="Medium Rating"/>
  </r>
  <r>
    <x v="107"/>
    <x v="41"/>
    <x v="5"/>
    <s v="Mumbai"/>
    <s v="Maharashtra"/>
    <s v="West"/>
    <s v="Neha Kapoor"/>
    <x v="2"/>
    <s v="Sneakers"/>
    <n v="2"/>
    <n v="4267.88"/>
    <n v="20"/>
    <n v="1707.152"/>
    <n v="6828.61"/>
    <n v="5200"/>
    <n v="1628.61"/>
    <s v="Profit"/>
    <s v="High Discount"/>
    <x v="0"/>
    <x v="0"/>
    <n v="3.3"/>
    <s v="Medium Rating"/>
  </r>
  <r>
    <x v="108"/>
    <x v="41"/>
    <x v="5"/>
    <s v="Mumbai"/>
    <s v="Maharashtra"/>
    <s v="West"/>
    <s v="Neha Kapoor"/>
    <x v="0"/>
    <s v="Laptop"/>
    <n v="5"/>
    <n v="57428.78"/>
    <n v="5"/>
    <n v="14357.195"/>
    <n v="272786.71000000002"/>
    <n v="210000"/>
    <n v="62786.71"/>
    <s v="Profit"/>
    <s v="Low Discount"/>
    <x v="4"/>
    <x v="0"/>
    <n v="3.7"/>
    <s v="Medium Rating"/>
  </r>
  <r>
    <x v="109"/>
    <x v="41"/>
    <x v="5"/>
    <s v="Mumbai"/>
    <s v="Maharashtra"/>
    <s v="West"/>
    <s v="Neha Kapoor"/>
    <x v="1"/>
    <s v="Perfume"/>
    <n v="3"/>
    <n v="1839.62"/>
    <n v="0"/>
    <n v="0"/>
    <n v="5518.86"/>
    <n v="3150"/>
    <n v="2368.86"/>
    <s v="Profit"/>
    <s v="No Discount"/>
    <x v="4"/>
    <x v="0"/>
    <n v="3.5"/>
    <s v="Medium Rating"/>
  </r>
  <r>
    <x v="110"/>
    <x v="42"/>
    <x v="4"/>
    <s v="Chennai"/>
    <s v="Tamil Nadu"/>
    <s v="South"/>
    <s v="Karthik Iyer"/>
    <x v="2"/>
    <s v="Sneakers"/>
    <n v="6"/>
    <n v="4404.82"/>
    <n v="5"/>
    <n v="1321.4459999999997"/>
    <n v="25107.47"/>
    <n v="15600"/>
    <n v="9507.4699999999993"/>
    <s v="Profit"/>
    <s v="Low Discount"/>
    <x v="3"/>
    <x v="0"/>
    <n v="4.0999999999999996"/>
    <s v="Medium Rating"/>
  </r>
  <r>
    <x v="111"/>
    <x v="43"/>
    <x v="7"/>
    <s v="Kolkata"/>
    <s v="West Bengal"/>
    <s v="East"/>
    <s v="Priya Sen"/>
    <x v="0"/>
    <s v="Smartwatch"/>
    <n v="3"/>
    <n v="4710.43"/>
    <n v="15"/>
    <n v="2119.6934999999999"/>
    <n v="12011.6"/>
    <n v="8700"/>
    <n v="3311.6"/>
    <s v="Profit"/>
    <s v="High Discount"/>
    <x v="4"/>
    <x v="0"/>
    <n v="3.6"/>
    <s v="Medium Rating"/>
  </r>
  <r>
    <x v="112"/>
    <x v="44"/>
    <x v="0"/>
    <s v="Delhi"/>
    <s v="Delhi"/>
    <s v="North"/>
    <s v="Amit Verma"/>
    <x v="4"/>
    <s v="Water Bottle"/>
    <n v="5"/>
    <n v="677.87"/>
    <n v="0"/>
    <n v="0"/>
    <n v="3389.35"/>
    <n v="2000"/>
    <n v="1389.35"/>
    <s v="Profit"/>
    <s v="No Discount"/>
    <x v="4"/>
    <x v="0"/>
    <n v="3"/>
    <s v="Medium Rating"/>
  </r>
  <r>
    <x v="113"/>
    <x v="45"/>
    <x v="0"/>
    <s v="Delhi"/>
    <s v="Delhi"/>
    <s v="North"/>
    <s v="Amit Verma"/>
    <x v="1"/>
    <s v="Moisturizer"/>
    <n v="6"/>
    <n v="537.92999999999995"/>
    <n v="5"/>
    <n v="161.37899999999999"/>
    <n v="3066.2"/>
    <n v="2040"/>
    <n v="1026.2"/>
    <s v="Profit"/>
    <s v="Low Discount"/>
    <x v="2"/>
    <x v="0"/>
    <n v="4.0999999999999996"/>
    <s v="Medium Rating"/>
  </r>
  <r>
    <x v="114"/>
    <x v="45"/>
    <x v="6"/>
    <s v="Lucknow"/>
    <s v="Uttar Pradesh"/>
    <s v="North"/>
    <s v="Sanjay Singh"/>
    <x v="2"/>
    <s v="Jacket"/>
    <n v="4"/>
    <n v="3293.79"/>
    <n v="20"/>
    <n v="2635.0320000000002"/>
    <n v="10540.13"/>
    <n v="7600"/>
    <n v="2940.13"/>
    <s v="Profit"/>
    <s v="High Discount"/>
    <x v="1"/>
    <x v="0"/>
    <n v="3.1"/>
    <s v="Medium Rating"/>
  </r>
  <r>
    <x v="115"/>
    <x v="45"/>
    <x v="1"/>
    <s v="Hyderabad"/>
    <s v="Telangana"/>
    <s v="South"/>
    <s v="Anjali Reddy"/>
    <x v="4"/>
    <s v="Mixer Grinder"/>
    <n v="1"/>
    <n v="3665.24"/>
    <n v="5"/>
    <n v="183.26199999999997"/>
    <n v="3481.98"/>
    <n v="2700"/>
    <n v="781.98"/>
    <s v="Profit"/>
    <s v="Low Discount"/>
    <x v="3"/>
    <x v="0"/>
    <n v="4.0999999999999996"/>
    <s v="Medium Rating"/>
  </r>
  <r>
    <x v="116"/>
    <x v="46"/>
    <x v="4"/>
    <s v="Chennai"/>
    <s v="Tamil Nadu"/>
    <s v="South"/>
    <s v="Karthik Iyer"/>
    <x v="3"/>
    <s v="Biscuits Pack"/>
    <n v="4"/>
    <n v="103.32"/>
    <n v="15"/>
    <n v="61.991999999999997"/>
    <n v="351.29"/>
    <n v="288"/>
    <n v="63.29"/>
    <s v="Profit"/>
    <s v="High Discount"/>
    <x v="2"/>
    <x v="0"/>
    <n v="3.9"/>
    <s v="Medium Rating"/>
  </r>
  <r>
    <x v="117"/>
    <x v="46"/>
    <x v="3"/>
    <s v="Jaipur"/>
    <s v="Rajasthan"/>
    <s v="West"/>
    <s v="Rajesh Sharma"/>
    <x v="0"/>
    <s v="Smartphone"/>
    <n v="6"/>
    <n v="20979.5"/>
    <n v="0"/>
    <n v="0"/>
    <n v="125877"/>
    <n v="96000"/>
    <n v="29877"/>
    <s v="Profit"/>
    <s v="No Discount"/>
    <x v="4"/>
    <x v="0"/>
    <n v="3.8"/>
    <s v="Medium Rating"/>
  </r>
  <r>
    <x v="118"/>
    <x v="46"/>
    <x v="7"/>
    <s v="Kolkata"/>
    <s v="West Bengal"/>
    <s v="East"/>
    <s v="Priya Sen"/>
    <x v="2"/>
    <s v="Sneakers"/>
    <n v="6"/>
    <n v="4406.8500000000004"/>
    <n v="10"/>
    <n v="2644.11"/>
    <n v="-23796.99"/>
    <n v="15600"/>
    <n v="-39396.99"/>
    <s v="Loss"/>
    <s v="Medium Discount"/>
    <x v="1"/>
    <x v="2"/>
    <n v="3.1"/>
    <s v="Medium Rating"/>
  </r>
  <r>
    <x v="119"/>
    <x v="46"/>
    <x v="0"/>
    <s v="Delhi"/>
    <s v="Delhi"/>
    <s v="North"/>
    <s v="Amit Verma"/>
    <x v="1"/>
    <s v="Shampoo"/>
    <n v="6"/>
    <n v="462.66"/>
    <n v="20"/>
    <n v="555.19200000000001"/>
    <n v="2220.77"/>
    <n v="1740"/>
    <n v="480.77"/>
    <s v="Profit"/>
    <s v="High Discount"/>
    <x v="2"/>
    <x v="0"/>
    <n v="4.3"/>
    <s v="Medium Rating"/>
  </r>
  <r>
    <x v="120"/>
    <x v="47"/>
    <x v="0"/>
    <s v="Delhi"/>
    <s v="Delhi"/>
    <s v="North"/>
    <s v="Amit Verma"/>
    <x v="0"/>
    <s v="Headphones"/>
    <n v="1"/>
    <n v="1852.96"/>
    <n v="0"/>
    <n v="0"/>
    <n v="0"/>
    <n v="1100"/>
    <n v="0"/>
    <s v="Break Even"/>
    <s v="No Discount"/>
    <x v="0"/>
    <x v="1"/>
    <m/>
    <s v="Not Rated"/>
  </r>
  <r>
    <x v="121"/>
    <x v="47"/>
    <x v="2"/>
    <s v="Bengaluru"/>
    <s v="Karnataka"/>
    <s v="South"/>
    <s v="Vikram Rao"/>
    <x v="1"/>
    <s v="Face Wash"/>
    <n v="4"/>
    <n v="364.93"/>
    <n v="5"/>
    <n v="72.986000000000004"/>
    <n v="1386.73"/>
    <n v="880"/>
    <n v="506.73"/>
    <s v="Profit"/>
    <s v="Low Discount"/>
    <x v="0"/>
    <x v="0"/>
    <n v="4.7"/>
    <s v="High Rating"/>
  </r>
  <r>
    <x v="122"/>
    <x v="48"/>
    <x v="1"/>
    <s v="Hyderabad"/>
    <s v="Telangana"/>
    <s v="South"/>
    <s v="Anjali Reddy"/>
    <x v="3"/>
    <s v="Tea 500g"/>
    <n v="3"/>
    <n v="275.73"/>
    <n v="20"/>
    <n v="165.43800000000002"/>
    <n v="661.75"/>
    <n v="630"/>
    <n v="31.75"/>
    <s v="Profit"/>
    <s v="High Discount"/>
    <x v="4"/>
    <x v="0"/>
    <n v="4.8"/>
    <s v="High Rating"/>
  </r>
  <r>
    <x v="123"/>
    <x v="48"/>
    <x v="2"/>
    <s v="Bengaluru"/>
    <s v="Karnataka"/>
    <s v="South"/>
    <s v="Vikram Rao"/>
    <x v="2"/>
    <s v="T-Shirt"/>
    <n v="3"/>
    <n v="932.94"/>
    <n v="15"/>
    <n v="419.82300000000004"/>
    <n v="2379"/>
    <n v="1500"/>
    <n v="879"/>
    <s v="Profit"/>
    <s v="High Discount"/>
    <x v="0"/>
    <x v="0"/>
    <n v="4.8"/>
    <s v="High Rating"/>
  </r>
  <r>
    <x v="124"/>
    <x v="48"/>
    <x v="4"/>
    <s v="Chennai"/>
    <s v="Tamil Nadu"/>
    <s v="South"/>
    <s v="Karthik Iyer"/>
    <x v="3"/>
    <s v="Cooking Oil 1L"/>
    <n v="5"/>
    <n v="155.03"/>
    <n v="10"/>
    <n v="77.515000000000001"/>
    <n v="697.63"/>
    <n v="600"/>
    <n v="97.63"/>
    <s v="Profit"/>
    <s v="Medium Discount"/>
    <x v="4"/>
    <x v="0"/>
    <n v="3.5"/>
    <s v="Medium Rating"/>
  </r>
  <r>
    <x v="125"/>
    <x v="49"/>
    <x v="3"/>
    <s v="Jaipur"/>
    <s v="Rajasthan"/>
    <s v="West"/>
    <s v="Rajesh Sharma"/>
    <x v="3"/>
    <s v="Cooking Oil 1L"/>
    <n v="1"/>
    <n v="143.91"/>
    <n v="10"/>
    <n v="14.390999999999998"/>
    <n v="129.52000000000001"/>
    <n v="120"/>
    <n v="9.52"/>
    <s v="Profit"/>
    <s v="Medium Discount"/>
    <x v="2"/>
    <x v="0"/>
    <n v="3.9"/>
    <s v="Medium Rating"/>
  </r>
  <r>
    <x v="126"/>
    <x v="49"/>
    <x v="1"/>
    <s v="Hyderabad"/>
    <s v="Telangana"/>
    <s v="South"/>
    <s v="Anjali Reddy"/>
    <x v="0"/>
    <s v="Laptop"/>
    <n v="5"/>
    <n v="54186.07"/>
    <n v="15"/>
    <n v="40639.552499999998"/>
    <n v="230290.8"/>
    <n v="210000"/>
    <n v="20290.8"/>
    <s v="Profit"/>
    <s v="High Discount"/>
    <x v="1"/>
    <x v="0"/>
    <n v="3.5"/>
    <s v="Medium Rating"/>
  </r>
  <r>
    <x v="127"/>
    <x v="49"/>
    <x v="6"/>
    <s v="Lucknow"/>
    <s v="Uttar Pradesh"/>
    <s v="North"/>
    <s v="Sanjay Singh"/>
    <x v="2"/>
    <s v="Sneakers"/>
    <n v="3"/>
    <n v="4339.5200000000004"/>
    <n v="10"/>
    <n v="1301.856"/>
    <n v="11716.7"/>
    <n v="7800"/>
    <n v="3916.7"/>
    <s v="Profit"/>
    <s v="Medium Discount"/>
    <x v="0"/>
    <x v="0"/>
    <n v="3.3"/>
    <s v="Medium Rating"/>
  </r>
  <r>
    <x v="128"/>
    <x v="50"/>
    <x v="5"/>
    <s v="Mumbai"/>
    <s v="Maharashtra"/>
    <s v="West"/>
    <s v="Neha Kapoor"/>
    <x v="4"/>
    <s v="Water Bottle"/>
    <n v="1"/>
    <n v="691.25"/>
    <n v="5"/>
    <n v="34.5625"/>
    <n v="656.69"/>
    <n v="400"/>
    <n v="256.69"/>
    <s v="Profit"/>
    <s v="Low Discount"/>
    <x v="2"/>
    <x v="0"/>
    <n v="4.2"/>
    <s v="Medium Rating"/>
  </r>
  <r>
    <x v="129"/>
    <x v="51"/>
    <x v="4"/>
    <s v="Chennai"/>
    <s v="Tamil Nadu"/>
    <s v="South"/>
    <s v="Karthik Iyer"/>
    <x v="1"/>
    <s v="Perfume"/>
    <n v="3"/>
    <n v="1880.85"/>
    <n v="10"/>
    <n v="564.25499999999988"/>
    <n v="5078.29"/>
    <n v="3150"/>
    <n v="1928.29"/>
    <s v="Profit"/>
    <s v="Medium Discount"/>
    <x v="4"/>
    <x v="0"/>
    <n v="3.5"/>
    <s v="Medium Rating"/>
  </r>
  <r>
    <x v="130"/>
    <x v="51"/>
    <x v="3"/>
    <s v="Jaipur"/>
    <s v="Rajasthan"/>
    <s v="West"/>
    <s v="Rajesh Sharma"/>
    <x v="2"/>
    <s v="Jacket"/>
    <n v="3"/>
    <n v="3158.05"/>
    <n v="5"/>
    <n v="473.7075000000001"/>
    <n v="9000.44"/>
    <n v="5700"/>
    <n v="3300.44"/>
    <s v="Profit"/>
    <s v="Low Discount"/>
    <x v="0"/>
    <x v="0"/>
    <n v="4.2"/>
    <s v="Medium Rating"/>
  </r>
  <r>
    <x v="131"/>
    <x v="51"/>
    <x v="0"/>
    <s v="Delhi"/>
    <s v="Delhi"/>
    <s v="North"/>
    <s v="Amit Verma"/>
    <x v="2"/>
    <s v="Jeans"/>
    <n v="1"/>
    <n v="1730.59"/>
    <n v="10"/>
    <n v="173.05899999999997"/>
    <n v="1557.53"/>
    <n v="1050"/>
    <n v="507.53"/>
    <s v="Profit"/>
    <s v="Medium Discount"/>
    <x v="2"/>
    <x v="0"/>
    <n v="3.2"/>
    <s v="Medium Rating"/>
  </r>
  <r>
    <x v="132"/>
    <x v="51"/>
    <x v="7"/>
    <s v="Kolkata"/>
    <s v="West Bengal"/>
    <s v="East"/>
    <s v="Priya Sen"/>
    <x v="2"/>
    <s v="Jeans"/>
    <n v="1"/>
    <n v="1799.68"/>
    <n v="20"/>
    <n v="359.93599999999998"/>
    <n v="-1439.74"/>
    <n v="1050"/>
    <n v="-2489.7399999999998"/>
    <s v="Loss"/>
    <s v="High Discount"/>
    <x v="2"/>
    <x v="2"/>
    <n v="5"/>
    <s v="High Rating"/>
  </r>
  <r>
    <x v="133"/>
    <x v="52"/>
    <x v="1"/>
    <s v="Hyderabad"/>
    <s v="Telangana"/>
    <s v="South"/>
    <s v="Anjali Reddy"/>
    <x v="1"/>
    <s v="Moisturizer"/>
    <n v="4"/>
    <n v="548.32000000000005"/>
    <n v="10"/>
    <n v="219.32800000000003"/>
    <n v="1973.95"/>
    <n v="1360"/>
    <n v="613.95000000000005"/>
    <s v="Profit"/>
    <s v="Medium Discount"/>
    <x v="2"/>
    <x v="0"/>
    <n v="3.2"/>
    <s v="Medium Rating"/>
  </r>
  <r>
    <x v="134"/>
    <x v="52"/>
    <x v="5"/>
    <s v="Mumbai"/>
    <s v="Maharashtra"/>
    <s v="West"/>
    <s v="Neha Kapoor"/>
    <x v="3"/>
    <s v="Rice 5kg"/>
    <n v="5"/>
    <n v="621.78"/>
    <n v="0"/>
    <n v="0"/>
    <n v="3108.9"/>
    <n v="2550"/>
    <n v="558.9"/>
    <s v="Profit"/>
    <s v="No Discount"/>
    <x v="2"/>
    <x v="0"/>
    <n v="3.1"/>
    <s v="Medium Rating"/>
  </r>
  <r>
    <x v="135"/>
    <x v="52"/>
    <x v="5"/>
    <s v="Mumbai"/>
    <s v="Maharashtra"/>
    <s v="West"/>
    <s v="Neha Kapoor"/>
    <x v="1"/>
    <s v="Face Wash"/>
    <n v="4"/>
    <n v="341.84"/>
    <n v="15"/>
    <n v="205.10399999999998"/>
    <n v="1162.26"/>
    <n v="880"/>
    <n v="282.26"/>
    <s v="Profit"/>
    <s v="High Discount"/>
    <x v="2"/>
    <x v="0"/>
    <n v="4.9000000000000004"/>
    <s v="High Rating"/>
  </r>
  <r>
    <x v="136"/>
    <x v="53"/>
    <x v="0"/>
    <s v="Delhi"/>
    <s v="Delhi"/>
    <s v="North"/>
    <s v="Amit Verma"/>
    <x v="0"/>
    <s v="Smartphone"/>
    <n v="4"/>
    <n v="22806.29"/>
    <n v="10"/>
    <n v="9122.5160000000014"/>
    <n v="82102.64"/>
    <n v="64000"/>
    <n v="18102.64"/>
    <s v="Profit"/>
    <s v="Medium Discount"/>
    <x v="1"/>
    <x v="0"/>
    <n v="3"/>
    <s v="Medium Rating"/>
  </r>
  <r>
    <x v="137"/>
    <x v="53"/>
    <x v="6"/>
    <s v="Lucknow"/>
    <s v="Uttar Pradesh"/>
    <s v="North"/>
    <s v="Sanjay Singh"/>
    <x v="0"/>
    <s v="Smartwatch"/>
    <n v="5"/>
    <n v="4692.83"/>
    <n v="0"/>
    <n v="0"/>
    <n v="23464.15"/>
    <n v="14500"/>
    <n v="8964.15"/>
    <s v="Profit"/>
    <s v="No Discount"/>
    <x v="3"/>
    <x v="0"/>
    <n v="4.5999999999999996"/>
    <s v="High Rating"/>
  </r>
  <r>
    <x v="138"/>
    <x v="53"/>
    <x v="5"/>
    <s v="Mumbai"/>
    <s v="Maharashtra"/>
    <s v="West"/>
    <s v="Neha Kapoor"/>
    <x v="2"/>
    <s v="Jacket"/>
    <n v="1"/>
    <n v="3131.16"/>
    <n v="10"/>
    <n v="313.11599999999999"/>
    <n v="2818.04"/>
    <n v="1900"/>
    <n v="918.04"/>
    <s v="Profit"/>
    <s v="Medium Discount"/>
    <x v="3"/>
    <x v="0"/>
    <n v="4.0999999999999996"/>
    <s v="Medium Rating"/>
  </r>
  <r>
    <x v="139"/>
    <x v="54"/>
    <x v="7"/>
    <s v="Kolkata"/>
    <s v="West Bengal"/>
    <s v="East"/>
    <s v="Priya Sen"/>
    <x v="1"/>
    <s v="Face Wash"/>
    <n v="4"/>
    <n v="334.86"/>
    <n v="20"/>
    <n v="267.88800000000003"/>
    <n v="1071.55"/>
    <n v="880"/>
    <n v="191.55"/>
    <s v="Profit"/>
    <s v="High Discount"/>
    <x v="3"/>
    <x v="0"/>
    <n v="4.8"/>
    <s v="High Rating"/>
  </r>
  <r>
    <x v="140"/>
    <x v="54"/>
    <x v="4"/>
    <s v="Chennai"/>
    <s v="Tamil Nadu"/>
    <s v="South"/>
    <s v="Karthik Iyer"/>
    <x v="3"/>
    <s v="Biscuits Pack"/>
    <n v="6"/>
    <n v="103.65"/>
    <n v="5"/>
    <n v="31.095000000000006"/>
    <n v="590.80999999999995"/>
    <n v="432"/>
    <n v="158.81"/>
    <s v="Profit"/>
    <s v="Low Discount"/>
    <x v="0"/>
    <x v="0"/>
    <n v="4.5"/>
    <s v="High Rating"/>
  </r>
  <r>
    <x v="141"/>
    <x v="55"/>
    <x v="5"/>
    <s v="Mumbai"/>
    <s v="Maharashtra"/>
    <s v="West"/>
    <s v="Neha Kapoor"/>
    <x v="1"/>
    <s v="Shampoo"/>
    <n v="6"/>
    <n v="439.57"/>
    <n v="10"/>
    <n v="263.74200000000002"/>
    <n v="0"/>
    <n v="1740"/>
    <n v="0"/>
    <s v="Break Even"/>
    <s v="Medium Discount"/>
    <x v="2"/>
    <x v="1"/>
    <m/>
    <s v="Not Rated"/>
  </r>
  <r>
    <x v="142"/>
    <x v="55"/>
    <x v="3"/>
    <s v="Jaipur"/>
    <s v="Rajasthan"/>
    <s v="West"/>
    <s v="Rajesh Sharma"/>
    <x v="3"/>
    <s v="Rice 5kg"/>
    <n v="1"/>
    <n v="657.59"/>
    <n v="10"/>
    <n v="65.759"/>
    <n v="591.83000000000004"/>
    <n v="510"/>
    <n v="81.83"/>
    <s v="Profit"/>
    <s v="Medium Discount"/>
    <x v="4"/>
    <x v="0"/>
    <n v="4.8"/>
    <s v="High Rating"/>
  </r>
  <r>
    <x v="143"/>
    <x v="55"/>
    <x v="0"/>
    <s v="Delhi"/>
    <s v="Delhi"/>
    <s v="North"/>
    <s v="Amit Verma"/>
    <x v="4"/>
    <s v="Mixer Grinder"/>
    <n v="3"/>
    <n v="3731.8"/>
    <n v="5"/>
    <n v="559.7700000000001"/>
    <n v="10635.63"/>
    <n v="8100"/>
    <n v="2535.63"/>
    <s v="Profit"/>
    <s v="Low Discount"/>
    <x v="0"/>
    <x v="0"/>
    <n v="5"/>
    <s v="High Rating"/>
  </r>
  <r>
    <x v="144"/>
    <x v="56"/>
    <x v="7"/>
    <s v="Kolkata"/>
    <s v="West Bengal"/>
    <s v="East"/>
    <s v="Priya Sen"/>
    <x v="2"/>
    <s v="T-Shirt"/>
    <n v="3"/>
    <n v="907.11"/>
    <n v="15"/>
    <n v="408.19949999999994"/>
    <n v="2313.13"/>
    <n v="1500"/>
    <n v="813.13"/>
    <s v="Profit"/>
    <s v="High Discount"/>
    <x v="0"/>
    <x v="0"/>
    <n v="4.5999999999999996"/>
    <s v="High Rating"/>
  </r>
  <r>
    <x v="145"/>
    <x v="56"/>
    <x v="4"/>
    <s v="Chennai"/>
    <s v="Tamil Nadu"/>
    <s v="South"/>
    <s v="Karthik Iyer"/>
    <x v="0"/>
    <s v="Headphones"/>
    <n v="3"/>
    <n v="1740.17"/>
    <n v="0"/>
    <n v="0"/>
    <n v="5220.51"/>
    <n v="3300"/>
    <n v="1920.51"/>
    <s v="Profit"/>
    <s v="No Discount"/>
    <x v="2"/>
    <x v="0"/>
    <n v="4.7"/>
    <s v="High Rating"/>
  </r>
  <r>
    <x v="146"/>
    <x v="56"/>
    <x v="2"/>
    <s v="Bengaluru"/>
    <s v="Karnataka"/>
    <s v="South"/>
    <s v="Vikram Rao"/>
    <x v="0"/>
    <s v="Smartwatch"/>
    <n v="1"/>
    <n v="4405.4799999999996"/>
    <n v="0"/>
    <n v="0"/>
    <n v="4405.4799999999996"/>
    <n v="2900"/>
    <n v="1505.48"/>
    <s v="Profit"/>
    <s v="No Discount"/>
    <x v="4"/>
    <x v="0"/>
    <n v="3.8"/>
    <s v="Medium Rating"/>
  </r>
  <r>
    <x v="147"/>
    <x v="56"/>
    <x v="1"/>
    <s v="Hyderabad"/>
    <s v="Telangana"/>
    <s v="South"/>
    <s v="Anjali Reddy"/>
    <x v="1"/>
    <s v="Face Wash"/>
    <n v="3"/>
    <n v="344.31"/>
    <n v="5"/>
    <n v="51.646500000000003"/>
    <n v="981.28"/>
    <n v="660"/>
    <n v="321.27999999999997"/>
    <s v="Profit"/>
    <s v="Low Discount"/>
    <x v="3"/>
    <x v="0"/>
    <n v="4.9000000000000004"/>
    <s v="High Rating"/>
  </r>
  <r>
    <x v="148"/>
    <x v="57"/>
    <x v="2"/>
    <s v="Bengaluru"/>
    <s v="Karnataka"/>
    <s v="South"/>
    <s v="Vikram Rao"/>
    <x v="2"/>
    <s v="Jeans"/>
    <n v="6"/>
    <n v="1747.39"/>
    <n v="15"/>
    <n v="1572.6510000000001"/>
    <n v="8911.69"/>
    <n v="6300"/>
    <n v="2611.69"/>
    <s v="Profit"/>
    <s v="High Discount"/>
    <x v="0"/>
    <x v="0"/>
    <n v="4.8"/>
    <s v="High Rating"/>
  </r>
  <r>
    <x v="149"/>
    <x v="57"/>
    <x v="6"/>
    <s v="Lucknow"/>
    <s v="Uttar Pradesh"/>
    <s v="North"/>
    <s v="Sanjay Singh"/>
    <x v="4"/>
    <s v="Dinner Set"/>
    <n v="5"/>
    <n v="2464.9699999999998"/>
    <n v="0"/>
    <n v="0"/>
    <n v="12324.85"/>
    <n v="7750"/>
    <n v="4574.8500000000004"/>
    <s v="Profit"/>
    <s v="No Discount"/>
    <x v="3"/>
    <x v="0"/>
    <n v="3.6"/>
    <s v="Medium Rating"/>
  </r>
  <r>
    <x v="150"/>
    <x v="57"/>
    <x v="1"/>
    <s v="Hyderabad"/>
    <s v="Telangana"/>
    <s v="South"/>
    <s v="Anjali Reddy"/>
    <x v="4"/>
    <s v="Mixer Grinder"/>
    <n v="6"/>
    <n v="3846.53"/>
    <n v="15"/>
    <n v="3461.877"/>
    <n v="19617.3"/>
    <n v="16200"/>
    <n v="3417.3"/>
    <s v="Profit"/>
    <s v="High Discount"/>
    <x v="1"/>
    <x v="0"/>
    <n v="3.1"/>
    <s v="Medium Rating"/>
  </r>
  <r>
    <x v="151"/>
    <x v="57"/>
    <x v="2"/>
    <s v="Bengaluru"/>
    <s v="Karnataka"/>
    <s v="South"/>
    <s v="Vikram Rao"/>
    <x v="2"/>
    <s v="Jeans"/>
    <n v="6"/>
    <n v="1726.54"/>
    <n v="10"/>
    <n v="1035.924"/>
    <n v="9323.32"/>
    <n v="6300"/>
    <n v="3023.32"/>
    <s v="Profit"/>
    <s v="Medium Discount"/>
    <x v="4"/>
    <x v="0"/>
    <n v="4.5999999999999996"/>
    <s v="High Rating"/>
  </r>
  <r>
    <x v="152"/>
    <x v="58"/>
    <x v="7"/>
    <s v="Kolkata"/>
    <s v="West Bengal"/>
    <s v="East"/>
    <s v="Priya Sen"/>
    <x v="2"/>
    <s v="Jacket"/>
    <n v="1"/>
    <n v="3311.23"/>
    <n v="20"/>
    <n v="662.24600000000009"/>
    <n v="2648.98"/>
    <n v="1900"/>
    <n v="748.98"/>
    <s v="Profit"/>
    <s v="High Discount"/>
    <x v="0"/>
    <x v="0"/>
    <n v="4.9000000000000004"/>
    <s v="High Rating"/>
  </r>
  <r>
    <x v="153"/>
    <x v="58"/>
    <x v="6"/>
    <s v="Lucknow"/>
    <s v="Uttar Pradesh"/>
    <s v="North"/>
    <s v="Sanjay Singh"/>
    <x v="0"/>
    <s v="Smartwatch"/>
    <n v="5"/>
    <n v="4302.2299999999996"/>
    <n v="20"/>
    <n v="4302.2299999999996"/>
    <n v="-17208.919999999998"/>
    <n v="14500"/>
    <n v="-31708.92"/>
    <s v="Loss"/>
    <s v="High Discount"/>
    <x v="0"/>
    <x v="2"/>
    <n v="3.7"/>
    <s v="Medium Rating"/>
  </r>
  <r>
    <x v="154"/>
    <x v="58"/>
    <x v="7"/>
    <s v="Kolkata"/>
    <s v="West Bengal"/>
    <s v="East"/>
    <s v="Priya Sen"/>
    <x v="3"/>
    <s v="Tea 500g"/>
    <n v="2"/>
    <n v="279.82"/>
    <n v="5"/>
    <n v="27.981999999999999"/>
    <n v="531.66"/>
    <n v="420"/>
    <n v="111.66"/>
    <s v="Profit"/>
    <s v="Low Discount"/>
    <x v="1"/>
    <x v="0"/>
    <n v="4.0999999999999996"/>
    <s v="Medium Rating"/>
  </r>
  <r>
    <x v="155"/>
    <x v="58"/>
    <x v="0"/>
    <s v="Delhi"/>
    <s v="Delhi"/>
    <s v="North"/>
    <s v="Amit Verma"/>
    <x v="2"/>
    <s v="Jacket"/>
    <n v="2"/>
    <n v="3282.82"/>
    <n v="10"/>
    <n v="656.56400000000008"/>
    <n v="5909.08"/>
    <n v="3800"/>
    <n v="2109.08"/>
    <s v="Profit"/>
    <s v="Medium Discount"/>
    <x v="4"/>
    <x v="0"/>
    <n v="4.5999999999999996"/>
    <s v="High Rating"/>
  </r>
  <r>
    <x v="156"/>
    <x v="59"/>
    <x v="0"/>
    <s v="Delhi"/>
    <s v="Delhi"/>
    <s v="North"/>
    <s v="Amit Verma"/>
    <x v="3"/>
    <s v="Tea 500g"/>
    <n v="3"/>
    <n v="279.79000000000002"/>
    <n v="5"/>
    <n v="41.968500000000006"/>
    <n v="797.4"/>
    <n v="630"/>
    <n v="167.4"/>
    <s v="Profit"/>
    <s v="Low Discount"/>
    <x v="4"/>
    <x v="0"/>
    <n v="3.4"/>
    <s v="Medium Rating"/>
  </r>
  <r>
    <x v="157"/>
    <x v="59"/>
    <x v="5"/>
    <s v="Mumbai"/>
    <s v="Maharashtra"/>
    <s v="West"/>
    <s v="Neha Kapoor"/>
    <x v="4"/>
    <s v="Coffee Maker"/>
    <n v="5"/>
    <n v="4984.01"/>
    <n v="20"/>
    <n v="4984.01"/>
    <n v="19936.04"/>
    <n v="18000"/>
    <n v="1936.04"/>
    <s v="Profit"/>
    <s v="High Discount"/>
    <x v="0"/>
    <x v="0"/>
    <n v="3.5"/>
    <s v="Medium Rating"/>
  </r>
  <r>
    <x v="158"/>
    <x v="60"/>
    <x v="1"/>
    <s v="Hyderabad"/>
    <s v="Telangana"/>
    <s v="South"/>
    <s v="Anjali Reddy"/>
    <x v="2"/>
    <s v="Jeans"/>
    <n v="3"/>
    <n v="1803.48"/>
    <n v="20"/>
    <n v="1082.0880000000002"/>
    <n v="4328.3500000000004"/>
    <n v="3150"/>
    <n v="1178.3499999999999"/>
    <s v="Profit"/>
    <s v="High Discount"/>
    <x v="4"/>
    <x v="0"/>
    <n v="4.5999999999999996"/>
    <s v="High Rating"/>
  </r>
  <r>
    <x v="159"/>
    <x v="60"/>
    <x v="3"/>
    <s v="Jaipur"/>
    <s v="Rajasthan"/>
    <s v="West"/>
    <s v="Rajesh Sharma"/>
    <x v="4"/>
    <s v="Water Bottle"/>
    <n v="3"/>
    <n v="669.99"/>
    <n v="5"/>
    <n v="100.49850000000001"/>
    <n v="1909.47"/>
    <n v="1200"/>
    <n v="709.47"/>
    <s v="Profit"/>
    <s v="Low Discount"/>
    <x v="2"/>
    <x v="0"/>
    <n v="4"/>
    <s v="Medium Rating"/>
  </r>
  <r>
    <x v="160"/>
    <x v="60"/>
    <x v="5"/>
    <s v="Mumbai"/>
    <s v="Maharashtra"/>
    <s v="West"/>
    <s v="Neha Kapoor"/>
    <x v="0"/>
    <s v="Smartwatch"/>
    <n v="6"/>
    <n v="4476.03"/>
    <n v="0"/>
    <n v="0"/>
    <n v="26856.18"/>
    <n v="17400"/>
    <n v="9456.18"/>
    <s v="Profit"/>
    <s v="No Discount"/>
    <x v="0"/>
    <x v="0"/>
    <n v="4.8"/>
    <s v="High Rating"/>
  </r>
  <r>
    <x v="161"/>
    <x v="60"/>
    <x v="5"/>
    <s v="Mumbai"/>
    <s v="Maharashtra"/>
    <s v="West"/>
    <s v="Neha Kapoor"/>
    <x v="4"/>
    <s v="Water Bottle"/>
    <n v="3"/>
    <n v="720.46"/>
    <n v="10"/>
    <n v="216.13800000000003"/>
    <n v="1945.24"/>
    <n v="1200"/>
    <n v="745.24"/>
    <s v="Profit"/>
    <s v="Medium Discount"/>
    <x v="3"/>
    <x v="0"/>
    <n v="4.5"/>
    <s v="High Rating"/>
  </r>
  <r>
    <x v="162"/>
    <x v="61"/>
    <x v="0"/>
    <s v="Delhi"/>
    <s v="Delhi"/>
    <s v="North"/>
    <s v="Amit Verma"/>
    <x v="4"/>
    <s v="Coffee Maker"/>
    <n v="6"/>
    <n v="5023.26"/>
    <n v="5"/>
    <n v="1506.9780000000001"/>
    <n v="28632.58"/>
    <n v="21600"/>
    <n v="7032.58"/>
    <s v="Profit"/>
    <s v="Low Discount"/>
    <x v="4"/>
    <x v="0"/>
    <n v="4.8"/>
    <s v="High Rating"/>
  </r>
  <r>
    <x v="163"/>
    <x v="61"/>
    <x v="6"/>
    <s v="Lucknow"/>
    <s v="Uttar Pradesh"/>
    <s v="North"/>
    <s v="Sanjay Singh"/>
    <x v="1"/>
    <s v="Face Wash"/>
    <n v="6"/>
    <n v="339.3"/>
    <n v="10"/>
    <n v="203.58"/>
    <n v="1832.22"/>
    <n v="1320"/>
    <n v="512.22"/>
    <s v="Profit"/>
    <s v="Medium Discount"/>
    <x v="4"/>
    <x v="0"/>
    <n v="4.7"/>
    <s v="High Rating"/>
  </r>
  <r>
    <x v="164"/>
    <x v="62"/>
    <x v="6"/>
    <s v="Lucknow"/>
    <s v="Uttar Pradesh"/>
    <s v="North"/>
    <s v="Sanjay Singh"/>
    <x v="3"/>
    <s v="Tea 500g"/>
    <n v="5"/>
    <n v="291.27999999999997"/>
    <n v="10"/>
    <n v="145.63999999999999"/>
    <n v="1310.76"/>
    <n v="1050"/>
    <n v="260.76"/>
    <s v="Profit"/>
    <s v="Medium Discount"/>
    <x v="1"/>
    <x v="0"/>
    <n v="3.1"/>
    <s v="Medium Rating"/>
  </r>
  <r>
    <x v="165"/>
    <x v="62"/>
    <x v="1"/>
    <s v="Hyderabad"/>
    <s v="Telangana"/>
    <s v="South"/>
    <s v="Anjali Reddy"/>
    <x v="1"/>
    <s v="Moisturizer"/>
    <n v="6"/>
    <n v="544.17999999999995"/>
    <n v="5"/>
    <n v="163.25399999999999"/>
    <n v="3101.83"/>
    <n v="2040"/>
    <n v="1061.83"/>
    <s v="Profit"/>
    <s v="Low Discount"/>
    <x v="1"/>
    <x v="0"/>
    <n v="4.7"/>
    <s v="High Rating"/>
  </r>
  <r>
    <x v="166"/>
    <x v="62"/>
    <x v="4"/>
    <s v="Chennai"/>
    <s v="Tamil Nadu"/>
    <s v="South"/>
    <s v="Karthik Iyer"/>
    <x v="3"/>
    <s v="Rice 5kg"/>
    <n v="5"/>
    <n v="661.29"/>
    <n v="5"/>
    <n v="165.32249999999999"/>
    <n v="3141.13"/>
    <n v="2550"/>
    <n v="591.13"/>
    <s v="Profit"/>
    <s v="Low Discount"/>
    <x v="4"/>
    <x v="0"/>
    <n v="4.5"/>
    <s v="High Rating"/>
  </r>
  <r>
    <x v="167"/>
    <x v="62"/>
    <x v="1"/>
    <s v="Hyderabad"/>
    <s v="Telangana"/>
    <s v="South"/>
    <s v="Anjali Reddy"/>
    <x v="4"/>
    <s v="Dinner Set"/>
    <n v="1"/>
    <n v="2360.48"/>
    <n v="5"/>
    <n v="118.024"/>
    <n v="2242.46"/>
    <n v="1550"/>
    <n v="692.46"/>
    <s v="Profit"/>
    <s v="Low Discount"/>
    <x v="1"/>
    <x v="0"/>
    <n v="3.8"/>
    <s v="Medium Rating"/>
  </r>
  <r>
    <x v="168"/>
    <x v="62"/>
    <x v="2"/>
    <s v="Bengaluru"/>
    <s v="Karnataka"/>
    <s v="South"/>
    <s v="Vikram Rao"/>
    <x v="1"/>
    <s v="Face Wash"/>
    <n v="1"/>
    <n v="344.39"/>
    <n v="15"/>
    <n v="51.658499999999997"/>
    <n v="292.73"/>
    <n v="220"/>
    <n v="72.73"/>
    <s v="Profit"/>
    <s v="High Discount"/>
    <x v="1"/>
    <x v="0"/>
    <n v="4.4000000000000004"/>
    <s v="Medium Rating"/>
  </r>
  <r>
    <x v="169"/>
    <x v="63"/>
    <x v="2"/>
    <s v="Bengaluru"/>
    <s v="Karnataka"/>
    <s v="South"/>
    <s v="Vikram Rao"/>
    <x v="1"/>
    <s v="Moisturizer"/>
    <n v="4"/>
    <n v="576.89"/>
    <n v="10"/>
    <n v="230.75599999999997"/>
    <n v="2076.8000000000002"/>
    <n v="1360"/>
    <n v="716.8"/>
    <s v="Profit"/>
    <s v="Medium Discount"/>
    <x v="4"/>
    <x v="0"/>
    <n v="4.9000000000000004"/>
    <s v="High Rating"/>
  </r>
  <r>
    <x v="170"/>
    <x v="63"/>
    <x v="5"/>
    <s v="Mumbai"/>
    <s v="Maharashtra"/>
    <s v="West"/>
    <s v="Neha Kapoor"/>
    <x v="0"/>
    <s v="Smartwatch"/>
    <n v="3"/>
    <n v="4386.1099999999997"/>
    <n v="5"/>
    <n v="657.91649999999993"/>
    <n v="12500.41"/>
    <n v="8700"/>
    <n v="3800.41"/>
    <s v="Profit"/>
    <s v="Low Discount"/>
    <x v="0"/>
    <x v="0"/>
    <n v="3.9"/>
    <s v="Medium Rating"/>
  </r>
  <r>
    <x v="171"/>
    <x v="63"/>
    <x v="5"/>
    <s v="Mumbai"/>
    <s v="Maharashtra"/>
    <s v="West"/>
    <s v="Neha Kapoor"/>
    <x v="3"/>
    <s v="Tea 500g"/>
    <n v="3"/>
    <n v="270.07"/>
    <n v="15"/>
    <n v="121.53150000000001"/>
    <n v="688.68"/>
    <n v="630"/>
    <n v="58.68"/>
    <s v="Profit"/>
    <s v="High Discount"/>
    <x v="0"/>
    <x v="0"/>
    <n v="3.5"/>
    <s v="Medium Rating"/>
  </r>
  <r>
    <x v="172"/>
    <x v="64"/>
    <x v="3"/>
    <s v="Jaipur"/>
    <s v="Rajasthan"/>
    <s v="West"/>
    <s v="Rajesh Sharma"/>
    <x v="4"/>
    <s v="Mixer Grinder"/>
    <n v="4"/>
    <n v="3814.81"/>
    <n v="5"/>
    <n v="762.96199999999999"/>
    <n v="0"/>
    <n v="10800"/>
    <n v="0"/>
    <s v="Break Even"/>
    <s v="Low Discount"/>
    <x v="1"/>
    <x v="1"/>
    <m/>
    <s v="Not Rated"/>
  </r>
  <r>
    <x v="173"/>
    <x v="65"/>
    <x v="3"/>
    <s v="Jaipur"/>
    <s v="Rajasthan"/>
    <s v="West"/>
    <s v="Rajesh Sharma"/>
    <x v="3"/>
    <s v="Biscuits Pack"/>
    <n v="3"/>
    <n v="99.61"/>
    <n v="0"/>
    <n v="0"/>
    <n v="298.83"/>
    <n v="216"/>
    <n v="82.83"/>
    <s v="Profit"/>
    <s v="No Discount"/>
    <x v="0"/>
    <x v="0"/>
    <n v="4.2"/>
    <s v="Medium Rating"/>
  </r>
  <r>
    <x v="174"/>
    <x v="65"/>
    <x v="7"/>
    <s v="Kolkata"/>
    <s v="West Bengal"/>
    <s v="East"/>
    <s v="Priya Sen"/>
    <x v="4"/>
    <s v="Dinner Set"/>
    <n v="4"/>
    <n v="2376.2600000000002"/>
    <n v="10"/>
    <n v="950.50400000000013"/>
    <n v="8554.5400000000009"/>
    <n v="6200"/>
    <n v="2354.54"/>
    <s v="Profit"/>
    <s v="Medium Discount"/>
    <x v="0"/>
    <x v="0"/>
    <n v="4.8"/>
    <s v="High Rating"/>
  </r>
  <r>
    <x v="175"/>
    <x v="65"/>
    <x v="6"/>
    <s v="Lucknow"/>
    <s v="Uttar Pradesh"/>
    <s v="North"/>
    <s v="Sanjay Singh"/>
    <x v="0"/>
    <s v="Headphones"/>
    <n v="3"/>
    <n v="1728.35"/>
    <n v="10"/>
    <n v="518.50499999999988"/>
    <n v="-4666.54"/>
    <n v="3300"/>
    <n v="-7966.54"/>
    <s v="Loss"/>
    <s v="Medium Discount"/>
    <x v="3"/>
    <x v="2"/>
    <n v="3.7"/>
    <s v="Medium Rating"/>
  </r>
  <r>
    <x v="176"/>
    <x v="65"/>
    <x v="0"/>
    <s v="Delhi"/>
    <s v="Delhi"/>
    <s v="North"/>
    <s v="Amit Verma"/>
    <x v="4"/>
    <s v="Dinner Set"/>
    <n v="4"/>
    <n v="2360.2399999999998"/>
    <n v="0"/>
    <n v="0"/>
    <n v="9440.9599999999991"/>
    <n v="6200"/>
    <n v="3240.96"/>
    <s v="Profit"/>
    <s v="No Discount"/>
    <x v="2"/>
    <x v="0"/>
    <n v="3.5"/>
    <s v="Medium Rating"/>
  </r>
  <r>
    <x v="177"/>
    <x v="66"/>
    <x v="2"/>
    <s v="Bengaluru"/>
    <s v="Karnataka"/>
    <s v="South"/>
    <s v="Vikram Rao"/>
    <x v="3"/>
    <s v="Biscuits Pack"/>
    <n v="1"/>
    <n v="101.92"/>
    <n v="0"/>
    <n v="0"/>
    <n v="101.92"/>
    <n v="72"/>
    <n v="29.92"/>
    <s v="Profit"/>
    <s v="No Discount"/>
    <x v="0"/>
    <x v="0"/>
    <n v="3.1"/>
    <s v="Medium Rating"/>
  </r>
  <r>
    <x v="178"/>
    <x v="66"/>
    <x v="6"/>
    <s v="Lucknow"/>
    <s v="Uttar Pradesh"/>
    <s v="North"/>
    <s v="Sanjay Singh"/>
    <x v="3"/>
    <s v="Tea 500g"/>
    <n v="1"/>
    <n v="274.81"/>
    <n v="5"/>
    <n v="13.740499999999999"/>
    <n v="261.07"/>
    <n v="210"/>
    <n v="51.07"/>
    <s v="Profit"/>
    <s v="Low Discount"/>
    <x v="4"/>
    <x v="0"/>
    <n v="3.6"/>
    <s v="Medium Rating"/>
  </r>
  <r>
    <x v="179"/>
    <x v="67"/>
    <x v="0"/>
    <s v="Delhi"/>
    <s v="Delhi"/>
    <s v="North"/>
    <s v="Amit Verma"/>
    <x v="3"/>
    <s v="Cooking Oil 1L"/>
    <n v="5"/>
    <n v="144.25"/>
    <n v="0"/>
    <n v="0"/>
    <n v="721.25"/>
    <n v="600"/>
    <n v="121.25"/>
    <s v="Profit"/>
    <s v="No Discount"/>
    <x v="1"/>
    <x v="0"/>
    <n v="4.5999999999999996"/>
    <s v="High Rating"/>
  </r>
  <r>
    <x v="180"/>
    <x v="68"/>
    <x v="1"/>
    <s v="Hyderabad"/>
    <s v="Telangana"/>
    <s v="South"/>
    <s v="Anjali Reddy"/>
    <x v="0"/>
    <s v="Smartwatch"/>
    <n v="6"/>
    <n v="4307.91"/>
    <n v="10"/>
    <n v="2584.7459999999996"/>
    <n v="23262.71"/>
    <n v="17400"/>
    <n v="5862.71"/>
    <s v="Profit"/>
    <s v="Medium Discount"/>
    <x v="4"/>
    <x v="0"/>
    <n v="4.3"/>
    <s v="Medium Rating"/>
  </r>
  <r>
    <x v="181"/>
    <x v="68"/>
    <x v="6"/>
    <s v="Lucknow"/>
    <s v="Uttar Pradesh"/>
    <s v="North"/>
    <s v="Sanjay Singh"/>
    <x v="1"/>
    <s v="Face Wash"/>
    <n v="5"/>
    <n v="344.11"/>
    <n v="20"/>
    <n v="344.11"/>
    <n v="1376.44"/>
    <n v="1100"/>
    <n v="276.44"/>
    <s v="Profit"/>
    <s v="High Discount"/>
    <x v="0"/>
    <x v="0"/>
    <n v="3.4"/>
    <s v="Medium Rating"/>
  </r>
  <r>
    <x v="182"/>
    <x v="68"/>
    <x v="2"/>
    <s v="Bengaluru"/>
    <s v="Karnataka"/>
    <s v="South"/>
    <s v="Vikram Rao"/>
    <x v="4"/>
    <s v="Water Bottle"/>
    <n v="6"/>
    <n v="701.01"/>
    <n v="5"/>
    <n v="210.30299999999997"/>
    <n v="3995.76"/>
    <n v="2400"/>
    <n v="1595.76"/>
    <s v="Profit"/>
    <s v="Low Discount"/>
    <x v="4"/>
    <x v="0"/>
    <n v="4"/>
    <s v="Medium Rating"/>
  </r>
  <r>
    <x v="183"/>
    <x v="68"/>
    <x v="7"/>
    <s v="Kolkata"/>
    <s v="West Bengal"/>
    <s v="East"/>
    <s v="Priya Sen"/>
    <x v="4"/>
    <s v="Dinner Set"/>
    <n v="5"/>
    <n v="2290.71"/>
    <n v="10"/>
    <n v="1145.355"/>
    <n v="10308.19"/>
    <n v="7750"/>
    <n v="2558.19"/>
    <s v="Profit"/>
    <s v="Medium Discount"/>
    <x v="2"/>
    <x v="0"/>
    <n v="3.5"/>
    <s v="Medium Rating"/>
  </r>
  <r>
    <x v="184"/>
    <x v="69"/>
    <x v="1"/>
    <s v="Hyderabad"/>
    <s v="Telangana"/>
    <s v="South"/>
    <s v="Anjali Reddy"/>
    <x v="2"/>
    <s v="Jeans"/>
    <n v="6"/>
    <n v="1740.52"/>
    <n v="10"/>
    <n v="1044.3119999999999"/>
    <n v="9398.81"/>
    <n v="6300"/>
    <n v="3098.81"/>
    <s v="Profit"/>
    <s v="Medium Discount"/>
    <x v="3"/>
    <x v="0"/>
    <n v="4"/>
    <s v="Medium Rating"/>
  </r>
  <r>
    <x v="185"/>
    <x v="69"/>
    <x v="0"/>
    <s v="Delhi"/>
    <s v="Delhi"/>
    <s v="North"/>
    <s v="Amit Verma"/>
    <x v="0"/>
    <s v="Laptop"/>
    <n v="1"/>
    <n v="53182.84"/>
    <n v="10"/>
    <n v="5318.2839999999987"/>
    <n v="47864.56"/>
    <n v="42000"/>
    <n v="5864.56"/>
    <s v="Profit"/>
    <s v="Medium Discount"/>
    <x v="4"/>
    <x v="0"/>
    <n v="3.4"/>
    <s v="Medium Rating"/>
  </r>
  <r>
    <x v="186"/>
    <x v="70"/>
    <x v="3"/>
    <s v="Jaipur"/>
    <s v="Rajasthan"/>
    <s v="West"/>
    <s v="Rajesh Sharma"/>
    <x v="0"/>
    <s v="Laptop"/>
    <n v="2"/>
    <n v="55749.49"/>
    <n v="10"/>
    <n v="11149.898000000001"/>
    <n v="100349.08"/>
    <n v="84000"/>
    <n v="16349.08"/>
    <s v="Profit"/>
    <s v="Medium Discount"/>
    <x v="0"/>
    <x v="0"/>
    <n v="4.5999999999999996"/>
    <s v="High Rating"/>
  </r>
  <r>
    <x v="187"/>
    <x v="71"/>
    <x v="5"/>
    <s v="Mumbai"/>
    <s v="Maharashtra"/>
    <s v="West"/>
    <s v="Neha Kapoor"/>
    <x v="4"/>
    <s v="Dinner Set"/>
    <n v="5"/>
    <n v="2303.3000000000002"/>
    <n v="20"/>
    <n v="2303.3000000000002"/>
    <n v="9213.2000000000007"/>
    <n v="7750"/>
    <n v="1463.2"/>
    <s v="Profit"/>
    <s v="High Discount"/>
    <x v="2"/>
    <x v="0"/>
    <n v="3.3"/>
    <s v="Medium Rating"/>
  </r>
  <r>
    <x v="188"/>
    <x v="71"/>
    <x v="5"/>
    <s v="Mumbai"/>
    <s v="Maharashtra"/>
    <s v="West"/>
    <s v="Neha Kapoor"/>
    <x v="0"/>
    <s v="Smartwatch"/>
    <n v="1"/>
    <n v="4430.8900000000003"/>
    <n v="5"/>
    <n v="221.5445"/>
    <n v="4209.3500000000004"/>
    <n v="2900"/>
    <n v="1309.3499999999999"/>
    <s v="Profit"/>
    <s v="Low Discount"/>
    <x v="1"/>
    <x v="0"/>
    <n v="4.9000000000000004"/>
    <s v="High Rating"/>
  </r>
  <r>
    <x v="189"/>
    <x v="71"/>
    <x v="3"/>
    <s v="Jaipur"/>
    <s v="Rajasthan"/>
    <s v="West"/>
    <s v="Rajesh Sharma"/>
    <x v="4"/>
    <s v="Water Bottle"/>
    <n v="4"/>
    <n v="696.16"/>
    <n v="10"/>
    <n v="278.464"/>
    <n v="2506.1799999999998"/>
    <n v="1600"/>
    <n v="906.18"/>
    <s v="Profit"/>
    <s v="Medium Discount"/>
    <x v="1"/>
    <x v="0"/>
    <n v="3"/>
    <s v="Medium Rating"/>
  </r>
  <r>
    <x v="190"/>
    <x v="72"/>
    <x v="0"/>
    <s v="Delhi"/>
    <s v="Delhi"/>
    <s v="North"/>
    <s v="Amit Verma"/>
    <x v="0"/>
    <s v="Headphones"/>
    <n v="1"/>
    <n v="1855.52"/>
    <n v="10"/>
    <n v="185.55200000000002"/>
    <n v="1669.97"/>
    <n v="1100"/>
    <n v="569.97"/>
    <s v="Profit"/>
    <s v="Medium Discount"/>
    <x v="3"/>
    <x v="0"/>
    <n v="4.3"/>
    <s v="Medium Rating"/>
  </r>
  <r>
    <x v="191"/>
    <x v="73"/>
    <x v="0"/>
    <s v="Delhi"/>
    <s v="Delhi"/>
    <s v="North"/>
    <s v="Amit Verma"/>
    <x v="4"/>
    <s v="Coffee Maker"/>
    <n v="6"/>
    <n v="5097.0600000000004"/>
    <n v="0"/>
    <n v="0"/>
    <n v="30582.36"/>
    <n v="21600"/>
    <n v="8982.36"/>
    <s v="Profit"/>
    <s v="No Discount"/>
    <x v="1"/>
    <x v="0"/>
    <n v="4"/>
    <s v="Medium Rating"/>
  </r>
  <r>
    <x v="192"/>
    <x v="73"/>
    <x v="7"/>
    <s v="Kolkata"/>
    <s v="West Bengal"/>
    <s v="East"/>
    <s v="Priya Sen"/>
    <x v="4"/>
    <s v="Coffee Maker"/>
    <n v="1"/>
    <n v="5108.21"/>
    <n v="0"/>
    <n v="0"/>
    <n v="0"/>
    <n v="3600"/>
    <n v="0"/>
    <s v="Break Even"/>
    <s v="No Discount"/>
    <x v="2"/>
    <x v="1"/>
    <m/>
    <s v="Not Rated"/>
  </r>
  <r>
    <x v="193"/>
    <x v="73"/>
    <x v="7"/>
    <s v="Kolkata"/>
    <s v="West Bengal"/>
    <s v="East"/>
    <s v="Priya Sen"/>
    <x v="1"/>
    <s v="Moisturizer"/>
    <n v="3"/>
    <n v="563.95000000000005"/>
    <n v="20"/>
    <n v="338.37"/>
    <n v="1353.48"/>
    <n v="1020"/>
    <n v="333.48"/>
    <s v="Profit"/>
    <s v="High Discount"/>
    <x v="4"/>
    <x v="0"/>
    <n v="3.1"/>
    <s v="Medium Rating"/>
  </r>
  <r>
    <x v="194"/>
    <x v="74"/>
    <x v="5"/>
    <s v="Mumbai"/>
    <s v="Maharashtra"/>
    <s v="West"/>
    <s v="Neha Kapoor"/>
    <x v="1"/>
    <s v="Shampoo"/>
    <n v="6"/>
    <n v="440.75"/>
    <n v="5"/>
    <n v="132.22499999999999"/>
    <n v="2512.2800000000002"/>
    <n v="1740"/>
    <n v="772.28"/>
    <s v="Profit"/>
    <s v="Low Discount"/>
    <x v="3"/>
    <x v="0"/>
    <n v="3.1"/>
    <s v="Medium Rating"/>
  </r>
  <r>
    <x v="195"/>
    <x v="75"/>
    <x v="7"/>
    <s v="Kolkata"/>
    <s v="West Bengal"/>
    <s v="East"/>
    <s v="Priya Sen"/>
    <x v="2"/>
    <s v="Jeans"/>
    <n v="3"/>
    <n v="1861.76"/>
    <n v="10"/>
    <n v="558.52799999999991"/>
    <n v="5026.75"/>
    <n v="3150"/>
    <n v="1876.75"/>
    <s v="Profit"/>
    <s v="Medium Discount"/>
    <x v="3"/>
    <x v="0"/>
    <n v="3.3"/>
    <s v="Medium Rating"/>
  </r>
  <r>
    <x v="196"/>
    <x v="75"/>
    <x v="5"/>
    <s v="Mumbai"/>
    <s v="Maharashtra"/>
    <s v="West"/>
    <s v="Neha Kapoor"/>
    <x v="0"/>
    <s v="Smartwatch"/>
    <n v="6"/>
    <n v="4320.82"/>
    <n v="0"/>
    <n v="0"/>
    <n v="25924.92"/>
    <n v="17400"/>
    <n v="8524.92"/>
    <s v="Profit"/>
    <s v="No Discount"/>
    <x v="0"/>
    <x v="0"/>
    <n v="3.8"/>
    <s v="Medium Rating"/>
  </r>
  <r>
    <x v="197"/>
    <x v="75"/>
    <x v="4"/>
    <s v="Chennai"/>
    <s v="Tamil Nadu"/>
    <s v="South"/>
    <s v="Karthik Iyer"/>
    <x v="3"/>
    <s v="Rice 5kg"/>
    <n v="5"/>
    <n v="655.92"/>
    <n v="15"/>
    <n v="491.94"/>
    <n v="2787.66"/>
    <n v="2550"/>
    <n v="237.66"/>
    <s v="Profit"/>
    <s v="High Discount"/>
    <x v="3"/>
    <x v="0"/>
    <n v="3.3"/>
    <s v="Medium Rating"/>
  </r>
  <r>
    <x v="198"/>
    <x v="76"/>
    <x v="1"/>
    <s v="Hyderabad"/>
    <s v="Telangana"/>
    <s v="South"/>
    <s v="Anjali Reddy"/>
    <x v="3"/>
    <s v="Rice 5kg"/>
    <n v="2"/>
    <n v="670.13"/>
    <n v="0"/>
    <n v="0"/>
    <n v="1340.26"/>
    <n v="1020"/>
    <n v="320.26"/>
    <s v="Profit"/>
    <s v="No Discount"/>
    <x v="0"/>
    <x v="0"/>
    <n v="4.7"/>
    <s v="High Rating"/>
  </r>
  <r>
    <x v="199"/>
    <x v="76"/>
    <x v="0"/>
    <s v="Delhi"/>
    <s v="Delhi"/>
    <s v="North"/>
    <s v="Amit Verma"/>
    <x v="2"/>
    <s v="Jacket"/>
    <n v="3"/>
    <n v="3064.84"/>
    <n v="0"/>
    <n v="0"/>
    <n v="9194.52"/>
    <n v="5700"/>
    <n v="3494.52"/>
    <s v="Profit"/>
    <s v="No Discount"/>
    <x v="0"/>
    <x v="0"/>
    <n v="3.1"/>
    <s v="Medium Rating"/>
  </r>
  <r>
    <x v="200"/>
    <x v="77"/>
    <x v="7"/>
    <s v="Kolkata"/>
    <s v="West Bengal"/>
    <s v="East"/>
    <s v="Priya Sen"/>
    <x v="1"/>
    <s v="Face Wash"/>
    <n v="6"/>
    <n v="346.5"/>
    <n v="5"/>
    <n v="103.95"/>
    <n v="1975.05"/>
    <n v="1320"/>
    <n v="655.04999999999995"/>
    <s v="Profit"/>
    <s v="Low Discount"/>
    <x v="1"/>
    <x v="0"/>
    <n v="4.5999999999999996"/>
    <s v="High Rating"/>
  </r>
  <r>
    <x v="201"/>
    <x v="77"/>
    <x v="5"/>
    <s v="Mumbai"/>
    <s v="Maharashtra"/>
    <s v="West"/>
    <s v="Neha Kapoor"/>
    <x v="1"/>
    <s v="Shampoo"/>
    <n v="4"/>
    <n v="449.04"/>
    <n v="5"/>
    <n v="89.808000000000007"/>
    <n v="1706.35"/>
    <n v="1160"/>
    <n v="546.35"/>
    <s v="Profit"/>
    <s v="Low Discount"/>
    <x v="4"/>
    <x v="0"/>
    <n v="3.9"/>
    <s v="Medium Rating"/>
  </r>
  <r>
    <x v="202"/>
    <x v="78"/>
    <x v="1"/>
    <s v="Hyderabad"/>
    <s v="Telangana"/>
    <s v="South"/>
    <s v="Anjali Reddy"/>
    <x v="0"/>
    <s v="Laptop"/>
    <n v="2"/>
    <n v="52449.05"/>
    <n v="20"/>
    <n v="20979.62"/>
    <n v="83918.48"/>
    <n v="84000"/>
    <n v="-81.52"/>
    <s v="Loss"/>
    <s v="High Discount"/>
    <x v="1"/>
    <x v="0"/>
    <n v="4.0999999999999996"/>
    <s v="Medium Rating"/>
  </r>
  <r>
    <x v="203"/>
    <x v="78"/>
    <x v="5"/>
    <s v="Mumbai"/>
    <s v="Maharashtra"/>
    <s v="West"/>
    <s v="Neha Kapoor"/>
    <x v="1"/>
    <s v="Moisturizer"/>
    <n v="2"/>
    <n v="525.58000000000004"/>
    <n v="10"/>
    <n v="105.116"/>
    <n v="946.04"/>
    <n v="680"/>
    <n v="266.04000000000002"/>
    <s v="Profit"/>
    <s v="Medium Discount"/>
    <x v="4"/>
    <x v="0"/>
    <n v="3.8"/>
    <s v="Medium Rating"/>
  </r>
  <r>
    <x v="204"/>
    <x v="78"/>
    <x v="4"/>
    <s v="Chennai"/>
    <s v="Tamil Nadu"/>
    <s v="South"/>
    <s v="Karthik Iyer"/>
    <x v="3"/>
    <s v="Tea 500g"/>
    <n v="6"/>
    <n v="293.36"/>
    <n v="15"/>
    <n v="264.024"/>
    <n v="1496.14"/>
    <n v="1260"/>
    <n v="236.14"/>
    <s v="Profit"/>
    <s v="High Discount"/>
    <x v="0"/>
    <x v="0"/>
    <n v="3.9"/>
    <s v="Medium Rating"/>
  </r>
  <r>
    <x v="205"/>
    <x v="78"/>
    <x v="1"/>
    <s v="Hyderabad"/>
    <s v="Telangana"/>
    <s v="South"/>
    <s v="Anjali Reddy"/>
    <x v="1"/>
    <s v="Moisturizer"/>
    <n v="1"/>
    <n v="551.41999999999996"/>
    <n v="20"/>
    <n v="110.28399999999999"/>
    <n v="441.14"/>
    <n v="340"/>
    <n v="101.14"/>
    <s v="Profit"/>
    <s v="High Discount"/>
    <x v="1"/>
    <x v="0"/>
    <n v="3.8"/>
    <s v="Medium Rating"/>
  </r>
  <r>
    <x v="206"/>
    <x v="79"/>
    <x v="3"/>
    <s v="Jaipur"/>
    <s v="Rajasthan"/>
    <s v="West"/>
    <s v="Rajesh Sharma"/>
    <x v="1"/>
    <s v="Shampoo"/>
    <n v="3"/>
    <n v="461.47"/>
    <n v="0"/>
    <n v="0"/>
    <n v="1384.41"/>
    <n v="870"/>
    <n v="514.41"/>
    <s v="Profit"/>
    <s v="No Discount"/>
    <x v="2"/>
    <x v="0"/>
    <n v="3.7"/>
    <s v="Medium Rating"/>
  </r>
  <r>
    <x v="207"/>
    <x v="80"/>
    <x v="7"/>
    <s v="Kolkata"/>
    <s v="West Bengal"/>
    <s v="East"/>
    <s v="Priya Sen"/>
    <x v="2"/>
    <s v="Jeans"/>
    <n v="3"/>
    <n v="1741.45"/>
    <n v="20"/>
    <n v="1044.8699999999999"/>
    <n v="4179.4799999999996"/>
    <n v="3150"/>
    <n v="1029.48"/>
    <s v="Profit"/>
    <s v="High Discount"/>
    <x v="0"/>
    <x v="0"/>
    <n v="4.5999999999999996"/>
    <s v="High Rating"/>
  </r>
  <r>
    <x v="208"/>
    <x v="80"/>
    <x v="3"/>
    <s v="Jaipur"/>
    <s v="Rajasthan"/>
    <s v="West"/>
    <s v="Rajesh Sharma"/>
    <x v="1"/>
    <s v="Face Wash"/>
    <n v="4"/>
    <n v="359.96"/>
    <n v="10"/>
    <n v="143.98400000000001"/>
    <n v="1295.8599999999999"/>
    <n v="880"/>
    <n v="415.86"/>
    <s v="Profit"/>
    <s v="Medium Discount"/>
    <x v="4"/>
    <x v="0"/>
    <n v="4"/>
    <s v="Medium Rating"/>
  </r>
  <r>
    <x v="209"/>
    <x v="80"/>
    <x v="6"/>
    <s v="Lucknow"/>
    <s v="Uttar Pradesh"/>
    <s v="North"/>
    <s v="Sanjay Singh"/>
    <x v="0"/>
    <s v="Smartwatch"/>
    <n v="2"/>
    <n v="4651.7299999999996"/>
    <n v="10"/>
    <n v="930.34599999999989"/>
    <n v="0"/>
    <n v="5800"/>
    <n v="0"/>
    <s v="Break Even"/>
    <s v="Medium Discount"/>
    <x v="2"/>
    <x v="1"/>
    <m/>
    <s v="Not Rated"/>
  </r>
  <r>
    <x v="210"/>
    <x v="81"/>
    <x v="5"/>
    <s v="Mumbai"/>
    <s v="Maharashtra"/>
    <s v="West"/>
    <s v="Neha Kapoor"/>
    <x v="4"/>
    <s v="Dinner Set"/>
    <n v="5"/>
    <n v="2390.9299999999998"/>
    <n v="15"/>
    <n v="1793.1975"/>
    <n v="10161.450000000001"/>
    <n v="7750"/>
    <n v="2411.4499999999998"/>
    <s v="Profit"/>
    <s v="High Discount"/>
    <x v="0"/>
    <x v="0"/>
    <n v="3.9"/>
    <s v="Medium Rating"/>
  </r>
  <r>
    <x v="211"/>
    <x v="82"/>
    <x v="3"/>
    <s v="Jaipur"/>
    <s v="Rajasthan"/>
    <s v="West"/>
    <s v="Rajesh Sharma"/>
    <x v="4"/>
    <s v="Mixer Grinder"/>
    <n v="4"/>
    <n v="3902.2"/>
    <n v="0"/>
    <n v="0"/>
    <n v="15608.8"/>
    <n v="10800"/>
    <n v="4808.8"/>
    <s v="Profit"/>
    <s v="No Discount"/>
    <x v="2"/>
    <x v="0"/>
    <n v="4.7"/>
    <s v="High Rating"/>
  </r>
  <r>
    <x v="212"/>
    <x v="82"/>
    <x v="6"/>
    <s v="Lucknow"/>
    <s v="Uttar Pradesh"/>
    <s v="North"/>
    <s v="Sanjay Singh"/>
    <x v="4"/>
    <s v="Water Bottle"/>
    <n v="4"/>
    <n v="691.6"/>
    <n v="5"/>
    <n v="138.32"/>
    <n v="2628.08"/>
    <n v="1600"/>
    <n v="1028.08"/>
    <s v="Profit"/>
    <s v="Low Discount"/>
    <x v="2"/>
    <x v="0"/>
    <n v="4.8"/>
    <s v="High Rating"/>
  </r>
  <r>
    <x v="213"/>
    <x v="83"/>
    <x v="0"/>
    <s v="Delhi"/>
    <s v="Delhi"/>
    <s v="North"/>
    <s v="Amit Verma"/>
    <x v="1"/>
    <s v="Face Wash"/>
    <n v="5"/>
    <n v="335.85"/>
    <n v="10"/>
    <n v="167.92500000000001"/>
    <n v="-1511.33"/>
    <n v="1100"/>
    <n v="-2611.33"/>
    <s v="Loss"/>
    <s v="Medium Discount"/>
    <x v="0"/>
    <x v="2"/>
    <n v="3.4"/>
    <s v="Medium Rating"/>
  </r>
  <r>
    <x v="214"/>
    <x v="83"/>
    <x v="1"/>
    <s v="Hyderabad"/>
    <s v="Telangana"/>
    <s v="South"/>
    <s v="Anjali Reddy"/>
    <x v="1"/>
    <s v="Shampoo"/>
    <n v="1"/>
    <n v="429.78"/>
    <n v="10"/>
    <n v="42.977999999999994"/>
    <n v="386.8"/>
    <n v="290"/>
    <n v="96.8"/>
    <s v="Profit"/>
    <s v="Medium Discount"/>
    <x v="4"/>
    <x v="0"/>
    <n v="3.5"/>
    <s v="Medium Rating"/>
  </r>
  <r>
    <x v="215"/>
    <x v="84"/>
    <x v="3"/>
    <s v="Jaipur"/>
    <s v="Rajasthan"/>
    <s v="West"/>
    <s v="Rajesh Sharma"/>
    <x v="1"/>
    <s v="Shampoo"/>
    <n v="1"/>
    <n v="430.63"/>
    <n v="0"/>
    <n v="0"/>
    <n v="0"/>
    <n v="290"/>
    <n v="0"/>
    <s v="Break Even"/>
    <s v="No Discount"/>
    <x v="1"/>
    <x v="1"/>
    <m/>
    <s v="Not Rated"/>
  </r>
  <r>
    <x v="216"/>
    <x v="84"/>
    <x v="0"/>
    <s v="Delhi"/>
    <s v="Delhi"/>
    <s v="North"/>
    <s v="Amit Verma"/>
    <x v="4"/>
    <s v="Water Bottle"/>
    <n v="5"/>
    <n v="697.09"/>
    <n v="10"/>
    <n v="348.54500000000002"/>
    <n v="3136.91"/>
    <n v="2000"/>
    <n v="1136.9100000000001"/>
    <s v="Profit"/>
    <s v="Medium Discount"/>
    <x v="0"/>
    <x v="0"/>
    <n v="3.7"/>
    <s v="Medium Rating"/>
  </r>
  <r>
    <x v="217"/>
    <x v="85"/>
    <x v="4"/>
    <s v="Chennai"/>
    <s v="Tamil Nadu"/>
    <s v="South"/>
    <s v="Karthik Iyer"/>
    <x v="2"/>
    <s v="Sneakers"/>
    <n v="6"/>
    <n v="4372.9799999999996"/>
    <n v="20"/>
    <n v="5247.576"/>
    <n v="20990.3"/>
    <n v="15600"/>
    <n v="5390.3"/>
    <s v="Profit"/>
    <s v="High Discount"/>
    <x v="2"/>
    <x v="0"/>
    <n v="3"/>
    <s v="Medium Rating"/>
  </r>
  <r>
    <x v="218"/>
    <x v="85"/>
    <x v="7"/>
    <s v="Kolkata"/>
    <s v="West Bengal"/>
    <s v="East"/>
    <s v="Priya Sen"/>
    <x v="0"/>
    <s v="Laptop"/>
    <n v="2"/>
    <n v="53013.95"/>
    <n v="0"/>
    <n v="0"/>
    <n v="106027.9"/>
    <n v="84000"/>
    <n v="22027.9"/>
    <s v="Profit"/>
    <s v="No Discount"/>
    <x v="3"/>
    <x v="0"/>
    <n v="3.9"/>
    <s v="Medium Rating"/>
  </r>
  <r>
    <x v="219"/>
    <x v="85"/>
    <x v="3"/>
    <s v="Jaipur"/>
    <s v="Rajasthan"/>
    <s v="West"/>
    <s v="Rajesh Sharma"/>
    <x v="3"/>
    <s v="Biscuits Pack"/>
    <n v="5"/>
    <n v="101.77"/>
    <n v="0"/>
    <n v="0"/>
    <n v="508.85"/>
    <n v="360"/>
    <n v="148.85"/>
    <s v="Profit"/>
    <s v="No Discount"/>
    <x v="4"/>
    <x v="0"/>
    <n v="4"/>
    <s v="Medium Rating"/>
  </r>
  <r>
    <x v="220"/>
    <x v="85"/>
    <x v="0"/>
    <s v="Delhi"/>
    <s v="Delhi"/>
    <s v="North"/>
    <s v="Amit Verma"/>
    <x v="2"/>
    <s v="Sneakers"/>
    <n v="4"/>
    <n v="4131.59"/>
    <n v="10"/>
    <n v="1652.636"/>
    <n v="0"/>
    <n v="10400"/>
    <n v="0"/>
    <s v="Break Even"/>
    <s v="Medium Discount"/>
    <x v="2"/>
    <x v="1"/>
    <m/>
    <s v="Not Rated"/>
  </r>
  <r>
    <x v="221"/>
    <x v="85"/>
    <x v="1"/>
    <s v="Hyderabad"/>
    <s v="Telangana"/>
    <s v="South"/>
    <s v="Anjali Reddy"/>
    <x v="4"/>
    <s v="Mixer Grinder"/>
    <n v="3"/>
    <n v="3612.5"/>
    <n v="5"/>
    <n v="541.875"/>
    <n v="10295.620000000001"/>
    <n v="8100"/>
    <n v="2195.62"/>
    <s v="Profit"/>
    <s v="Low Discount"/>
    <x v="0"/>
    <x v="0"/>
    <n v="4.8"/>
    <s v="High Rating"/>
  </r>
  <r>
    <x v="222"/>
    <x v="86"/>
    <x v="6"/>
    <s v="Lucknow"/>
    <s v="Uttar Pradesh"/>
    <s v="North"/>
    <s v="Sanjay Singh"/>
    <x v="1"/>
    <s v="Shampoo"/>
    <n v="1"/>
    <n v="447.35"/>
    <n v="5"/>
    <n v="22.3675"/>
    <n v="424.98"/>
    <n v="290"/>
    <n v="134.97999999999999"/>
    <s v="Profit"/>
    <s v="Low Discount"/>
    <x v="3"/>
    <x v="0"/>
    <n v="3.3"/>
    <s v="Medium Rating"/>
  </r>
  <r>
    <x v="223"/>
    <x v="86"/>
    <x v="4"/>
    <s v="Chennai"/>
    <s v="Tamil Nadu"/>
    <s v="South"/>
    <s v="Karthik Iyer"/>
    <x v="1"/>
    <s v="Moisturizer"/>
    <n v="5"/>
    <n v="566.9"/>
    <n v="10"/>
    <n v="283.45"/>
    <n v="0"/>
    <n v="1700"/>
    <n v="0"/>
    <s v="Break Even"/>
    <s v="Medium Discount"/>
    <x v="4"/>
    <x v="1"/>
    <m/>
    <s v="Not Rated"/>
  </r>
  <r>
    <x v="224"/>
    <x v="87"/>
    <x v="2"/>
    <s v="Bengaluru"/>
    <s v="Karnataka"/>
    <s v="South"/>
    <s v="Vikram Rao"/>
    <x v="3"/>
    <s v="Tea 500g"/>
    <n v="3"/>
    <n v="291.13"/>
    <n v="0"/>
    <n v="0"/>
    <n v="-873.39"/>
    <n v="630"/>
    <n v="-1503.39"/>
    <s v="Loss"/>
    <s v="No Discount"/>
    <x v="3"/>
    <x v="2"/>
    <n v="4.5"/>
    <s v="High Rating"/>
  </r>
  <r>
    <x v="225"/>
    <x v="87"/>
    <x v="5"/>
    <s v="Mumbai"/>
    <s v="Maharashtra"/>
    <s v="West"/>
    <s v="Neha Kapoor"/>
    <x v="3"/>
    <s v="Tea 500g"/>
    <n v="5"/>
    <n v="278.99"/>
    <n v="10"/>
    <n v="139.495"/>
    <n v="1255.46"/>
    <n v="1050"/>
    <n v="205.46"/>
    <s v="Profit"/>
    <s v="Medium Discount"/>
    <x v="4"/>
    <x v="0"/>
    <n v="3.2"/>
    <s v="Medium Rating"/>
  </r>
  <r>
    <x v="226"/>
    <x v="87"/>
    <x v="5"/>
    <s v="Mumbai"/>
    <s v="Maharashtra"/>
    <s v="West"/>
    <s v="Neha Kapoor"/>
    <x v="2"/>
    <s v="Jeans"/>
    <n v="4"/>
    <n v="1860.35"/>
    <n v="5"/>
    <n v="372.07"/>
    <n v="7069.33"/>
    <n v="4200"/>
    <n v="2869.33"/>
    <s v="Profit"/>
    <s v="Low Discount"/>
    <x v="1"/>
    <x v="0"/>
    <n v="4.9000000000000004"/>
    <s v="High Rating"/>
  </r>
  <r>
    <x v="227"/>
    <x v="88"/>
    <x v="6"/>
    <s v="Lucknow"/>
    <s v="Uttar Pradesh"/>
    <s v="North"/>
    <s v="Sanjay Singh"/>
    <x v="4"/>
    <s v="Mixer Grinder"/>
    <n v="5"/>
    <n v="3949.07"/>
    <n v="10"/>
    <n v="1974.5350000000003"/>
    <n v="17770.82"/>
    <n v="13500"/>
    <n v="4270.82"/>
    <s v="Profit"/>
    <s v="Medium Discount"/>
    <x v="2"/>
    <x v="0"/>
    <n v="4.5999999999999996"/>
    <s v="High Rating"/>
  </r>
  <r>
    <x v="228"/>
    <x v="88"/>
    <x v="1"/>
    <s v="Hyderabad"/>
    <s v="Telangana"/>
    <s v="South"/>
    <s v="Anjali Reddy"/>
    <x v="0"/>
    <s v="Laptop"/>
    <n v="5"/>
    <n v="56124.37"/>
    <n v="5"/>
    <n v="14031.092500000002"/>
    <n v="266590.76"/>
    <n v="210000"/>
    <n v="56590.76"/>
    <s v="Profit"/>
    <s v="Low Discount"/>
    <x v="0"/>
    <x v="0"/>
    <n v="4.7"/>
    <s v="High Rating"/>
  </r>
  <r>
    <x v="229"/>
    <x v="88"/>
    <x v="2"/>
    <s v="Bengaluru"/>
    <s v="Karnataka"/>
    <s v="South"/>
    <s v="Vikram Rao"/>
    <x v="0"/>
    <s v="Smartphone"/>
    <n v="2"/>
    <n v="21984.79"/>
    <n v="10"/>
    <n v="4396.9580000000005"/>
    <n v="39572.620000000003"/>
    <n v="32000"/>
    <n v="7572.62"/>
    <s v="Profit"/>
    <s v="Medium Discount"/>
    <x v="1"/>
    <x v="0"/>
    <n v="4.0999999999999996"/>
    <s v="Medium Rating"/>
  </r>
  <r>
    <x v="230"/>
    <x v="89"/>
    <x v="6"/>
    <s v="Lucknow"/>
    <s v="Uttar Pradesh"/>
    <s v="North"/>
    <s v="Sanjay Singh"/>
    <x v="1"/>
    <s v="Moisturizer"/>
    <n v="3"/>
    <n v="527.09"/>
    <n v="10"/>
    <n v="158.12700000000001"/>
    <n v="1423.14"/>
    <n v="1020"/>
    <n v="403.14"/>
    <s v="Profit"/>
    <s v="Medium Discount"/>
    <x v="3"/>
    <x v="0"/>
    <n v="4.5"/>
    <s v="High Rating"/>
  </r>
  <r>
    <x v="231"/>
    <x v="90"/>
    <x v="7"/>
    <s v="Kolkata"/>
    <s v="West Bengal"/>
    <s v="East"/>
    <s v="Priya Sen"/>
    <x v="2"/>
    <s v="Sneakers"/>
    <n v="6"/>
    <n v="4336.41"/>
    <n v="5"/>
    <n v="1300.9229999999998"/>
    <n v="24717.54"/>
    <n v="15600"/>
    <n v="9117.5400000000009"/>
    <s v="Profit"/>
    <s v="Low Discount"/>
    <x v="2"/>
    <x v="0"/>
    <n v="3.5"/>
    <s v="Medium Rating"/>
  </r>
  <r>
    <x v="232"/>
    <x v="90"/>
    <x v="7"/>
    <s v="Kolkata"/>
    <s v="West Bengal"/>
    <s v="East"/>
    <s v="Priya Sen"/>
    <x v="3"/>
    <s v="Rice 5kg"/>
    <n v="1"/>
    <n v="658.53"/>
    <n v="0"/>
    <n v="0"/>
    <n v="658.53"/>
    <n v="510"/>
    <n v="148.53"/>
    <s v="Profit"/>
    <s v="No Discount"/>
    <x v="3"/>
    <x v="0"/>
    <n v="4.2"/>
    <s v="Medium Rating"/>
  </r>
  <r>
    <x v="233"/>
    <x v="91"/>
    <x v="1"/>
    <s v="Hyderabad"/>
    <s v="Telangana"/>
    <s v="South"/>
    <s v="Anjali Reddy"/>
    <x v="0"/>
    <s v="Laptop"/>
    <n v="6"/>
    <n v="55541.19"/>
    <n v="20"/>
    <n v="66649.428000000014"/>
    <n v="266597.71000000002"/>
    <n v="252000"/>
    <n v="14597.71"/>
    <s v="Profit"/>
    <s v="High Discount"/>
    <x v="0"/>
    <x v="0"/>
    <n v="4.3"/>
    <s v="Medium Rating"/>
  </r>
  <r>
    <x v="234"/>
    <x v="91"/>
    <x v="2"/>
    <s v="Bengaluru"/>
    <s v="Karnataka"/>
    <s v="South"/>
    <s v="Vikram Rao"/>
    <x v="0"/>
    <s v="Headphones"/>
    <n v="4"/>
    <n v="1777.66"/>
    <n v="10"/>
    <n v="711.06400000000008"/>
    <n v="-6399.58"/>
    <n v="4400"/>
    <n v="-10799.58"/>
    <s v="Loss"/>
    <s v="Medium Discount"/>
    <x v="2"/>
    <x v="2"/>
    <n v="4.2"/>
    <s v="Medium Rating"/>
  </r>
  <r>
    <x v="235"/>
    <x v="91"/>
    <x v="4"/>
    <s v="Chennai"/>
    <s v="Tamil Nadu"/>
    <s v="South"/>
    <s v="Karthik Iyer"/>
    <x v="1"/>
    <s v="Shampoo"/>
    <n v="3"/>
    <n v="442.31"/>
    <n v="0"/>
    <n v="0"/>
    <n v="1326.93"/>
    <n v="870"/>
    <n v="456.93"/>
    <s v="Profit"/>
    <s v="No Discount"/>
    <x v="2"/>
    <x v="0"/>
    <n v="4.3"/>
    <s v="Medium Rating"/>
  </r>
  <r>
    <x v="236"/>
    <x v="91"/>
    <x v="6"/>
    <s v="Lucknow"/>
    <s v="Uttar Pradesh"/>
    <s v="North"/>
    <s v="Sanjay Singh"/>
    <x v="2"/>
    <s v="Jeans"/>
    <n v="6"/>
    <n v="1882.96"/>
    <n v="0"/>
    <n v="0"/>
    <n v="11297.76"/>
    <n v="6300"/>
    <n v="4997.76"/>
    <s v="Profit"/>
    <s v="No Discount"/>
    <x v="3"/>
    <x v="0"/>
    <n v="3.3"/>
    <s v="Medium Rating"/>
  </r>
  <r>
    <x v="237"/>
    <x v="91"/>
    <x v="5"/>
    <s v="Mumbai"/>
    <s v="Maharashtra"/>
    <s v="West"/>
    <s v="Neha Kapoor"/>
    <x v="4"/>
    <s v="Dinner Set"/>
    <n v="5"/>
    <n v="2444.44"/>
    <n v="10"/>
    <n v="1222.22"/>
    <n v="10999.98"/>
    <n v="7750"/>
    <n v="3249.98"/>
    <s v="Profit"/>
    <s v="Medium Discount"/>
    <x v="3"/>
    <x v="0"/>
    <n v="3.1"/>
    <s v="Medium Rating"/>
  </r>
  <r>
    <x v="238"/>
    <x v="92"/>
    <x v="2"/>
    <s v="Bengaluru"/>
    <s v="Karnataka"/>
    <s v="South"/>
    <s v="Vikram Rao"/>
    <x v="4"/>
    <s v="Water Bottle"/>
    <n v="1"/>
    <n v="715.72"/>
    <n v="20"/>
    <n v="143.14400000000001"/>
    <n v="572.58000000000004"/>
    <n v="400"/>
    <n v="172.58"/>
    <s v="Profit"/>
    <s v="High Discount"/>
    <x v="3"/>
    <x v="0"/>
    <n v="4.3"/>
    <s v="Medium Rating"/>
  </r>
  <r>
    <x v="239"/>
    <x v="93"/>
    <x v="7"/>
    <s v="Kolkata"/>
    <s v="West Bengal"/>
    <s v="East"/>
    <s v="Priya Sen"/>
    <x v="4"/>
    <s v="Dinner Set"/>
    <n v="2"/>
    <n v="2512.14"/>
    <n v="20"/>
    <n v="1004.8559999999999"/>
    <n v="0"/>
    <n v="3100"/>
    <n v="0"/>
    <s v="Break Even"/>
    <s v="High Discount"/>
    <x v="4"/>
    <x v="1"/>
    <m/>
    <s v="Not Rated"/>
  </r>
  <r>
    <x v="240"/>
    <x v="94"/>
    <x v="7"/>
    <s v="Kolkata"/>
    <s v="West Bengal"/>
    <s v="East"/>
    <s v="Priya Sen"/>
    <x v="2"/>
    <s v="T-Shirt"/>
    <n v="4"/>
    <n v="912.02"/>
    <n v="0"/>
    <n v="0"/>
    <n v="3648.08"/>
    <n v="2000"/>
    <n v="1648.08"/>
    <s v="Profit"/>
    <s v="No Discount"/>
    <x v="3"/>
    <x v="0"/>
    <n v="3.2"/>
    <s v="Medium Rating"/>
  </r>
  <r>
    <x v="241"/>
    <x v="94"/>
    <x v="5"/>
    <s v="Mumbai"/>
    <s v="Maharashtra"/>
    <s v="West"/>
    <s v="Neha Kapoor"/>
    <x v="3"/>
    <s v="Biscuits Pack"/>
    <n v="5"/>
    <n v="98.09"/>
    <n v="10"/>
    <n v="49.045000000000002"/>
    <n v="441.41"/>
    <n v="360"/>
    <n v="81.41"/>
    <s v="Profit"/>
    <s v="Medium Discount"/>
    <x v="3"/>
    <x v="0"/>
    <n v="4.7"/>
    <s v="High Rating"/>
  </r>
  <r>
    <x v="242"/>
    <x v="94"/>
    <x v="3"/>
    <s v="Jaipur"/>
    <s v="Rajasthan"/>
    <s v="West"/>
    <s v="Rajesh Sharma"/>
    <x v="2"/>
    <s v="Jacket"/>
    <n v="5"/>
    <n v="3089.87"/>
    <n v="5"/>
    <n v="772.46749999999997"/>
    <n v="0"/>
    <n v="9500"/>
    <n v="0"/>
    <s v="Break Even"/>
    <s v="Low Discount"/>
    <x v="1"/>
    <x v="1"/>
    <m/>
    <s v="Not Rated"/>
  </r>
  <r>
    <x v="243"/>
    <x v="94"/>
    <x v="2"/>
    <s v="Bengaluru"/>
    <s v="Karnataka"/>
    <s v="South"/>
    <s v="Vikram Rao"/>
    <x v="0"/>
    <s v="Smartphone"/>
    <n v="6"/>
    <n v="21441.87"/>
    <n v="10"/>
    <n v="12865.121999999999"/>
    <n v="115786.1"/>
    <n v="96000"/>
    <n v="19786.099999999999"/>
    <s v="Profit"/>
    <s v="Medium Discount"/>
    <x v="2"/>
    <x v="0"/>
    <n v="4.8"/>
    <s v="High Rating"/>
  </r>
  <r>
    <x v="244"/>
    <x v="94"/>
    <x v="2"/>
    <s v="Bengaluru"/>
    <s v="Karnataka"/>
    <s v="South"/>
    <s v="Vikram Rao"/>
    <x v="4"/>
    <s v="Water Bottle"/>
    <n v="3"/>
    <n v="666.37"/>
    <n v="0"/>
    <n v="0"/>
    <n v="1999.11"/>
    <n v="1200"/>
    <n v="799.11"/>
    <s v="Profit"/>
    <s v="No Discount"/>
    <x v="2"/>
    <x v="0"/>
    <n v="3.1"/>
    <s v="Medium Rating"/>
  </r>
  <r>
    <x v="245"/>
    <x v="95"/>
    <x v="2"/>
    <s v="Bengaluru"/>
    <s v="Karnataka"/>
    <s v="South"/>
    <s v="Vikram Rao"/>
    <x v="2"/>
    <s v="Sneakers"/>
    <n v="1"/>
    <n v="4327.5200000000004"/>
    <n v="15"/>
    <n v="649.12800000000004"/>
    <n v="3678.39"/>
    <n v="2600"/>
    <n v="1078.3900000000001"/>
    <s v="Profit"/>
    <s v="High Discount"/>
    <x v="3"/>
    <x v="0"/>
    <n v="3.5"/>
    <s v="Medium Rating"/>
  </r>
  <r>
    <x v="246"/>
    <x v="96"/>
    <x v="4"/>
    <s v="Chennai"/>
    <s v="Tamil Nadu"/>
    <s v="South"/>
    <s v="Karthik Iyer"/>
    <x v="0"/>
    <s v="Smartwatch"/>
    <n v="4"/>
    <n v="4701.95"/>
    <n v="5"/>
    <n v="940.39"/>
    <n v="17867.41"/>
    <n v="11600"/>
    <n v="6267.41"/>
    <s v="Profit"/>
    <s v="Low Discount"/>
    <x v="0"/>
    <x v="0"/>
    <n v="4"/>
    <s v="Medium Rating"/>
  </r>
  <r>
    <x v="247"/>
    <x v="96"/>
    <x v="3"/>
    <s v="Jaipur"/>
    <s v="Rajasthan"/>
    <s v="West"/>
    <s v="Rajesh Sharma"/>
    <x v="3"/>
    <s v="Cooking Oil 1L"/>
    <n v="1"/>
    <n v="147.19"/>
    <n v="20"/>
    <n v="29.438000000000002"/>
    <n v="-117.75"/>
    <n v="120"/>
    <n v="-237.75"/>
    <s v="Loss"/>
    <s v="High Discount"/>
    <x v="1"/>
    <x v="2"/>
    <n v="3.1"/>
    <s v="Medium Rating"/>
  </r>
  <r>
    <x v="248"/>
    <x v="96"/>
    <x v="1"/>
    <s v="Hyderabad"/>
    <s v="Telangana"/>
    <s v="South"/>
    <s v="Anjali Reddy"/>
    <x v="1"/>
    <s v="Perfume"/>
    <n v="2"/>
    <n v="1786.63"/>
    <n v="20"/>
    <n v="714.65200000000016"/>
    <n v="2858.61"/>
    <n v="2100"/>
    <n v="758.61"/>
    <s v="Profit"/>
    <s v="High Discount"/>
    <x v="0"/>
    <x v="0"/>
    <n v="3.2"/>
    <s v="Medium Rating"/>
  </r>
  <r>
    <x v="249"/>
    <x v="97"/>
    <x v="6"/>
    <s v="Lucknow"/>
    <s v="Uttar Pradesh"/>
    <s v="North"/>
    <s v="Sanjay Singh"/>
    <x v="4"/>
    <s v="Water Bottle"/>
    <n v="4"/>
    <n v="709.49"/>
    <n v="5"/>
    <n v="141.898"/>
    <n v="2696.06"/>
    <n v="1600"/>
    <n v="1096.06"/>
    <s v="Profit"/>
    <s v="Low Discount"/>
    <x v="1"/>
    <x v="0"/>
    <n v="3.6"/>
    <s v="Medium Rating"/>
  </r>
  <r>
    <x v="250"/>
    <x v="97"/>
    <x v="2"/>
    <s v="Bengaluru"/>
    <s v="Karnataka"/>
    <s v="South"/>
    <s v="Vikram Rao"/>
    <x v="4"/>
    <s v="Coffee Maker"/>
    <n v="4"/>
    <n v="5122.63"/>
    <n v="5"/>
    <n v="1024.5260000000001"/>
    <n v="-19465.990000000002"/>
    <n v="14400"/>
    <n v="-33865.99"/>
    <s v="Loss"/>
    <s v="Low Discount"/>
    <x v="3"/>
    <x v="2"/>
    <n v="4.9000000000000004"/>
    <s v="High Rating"/>
  </r>
  <r>
    <x v="251"/>
    <x v="98"/>
    <x v="1"/>
    <s v="Hyderabad"/>
    <s v="Telangana"/>
    <s v="South"/>
    <s v="Anjali Reddy"/>
    <x v="3"/>
    <s v="Biscuits Pack"/>
    <n v="2"/>
    <n v="97.6"/>
    <n v="20"/>
    <n v="39.04"/>
    <n v="156.16"/>
    <n v="144"/>
    <n v="12.16"/>
    <s v="Profit"/>
    <s v="High Discount"/>
    <x v="0"/>
    <x v="0"/>
    <n v="4.5"/>
    <s v="High Rating"/>
  </r>
  <r>
    <x v="252"/>
    <x v="98"/>
    <x v="6"/>
    <s v="Lucknow"/>
    <s v="Uttar Pradesh"/>
    <s v="North"/>
    <s v="Sanjay Singh"/>
    <x v="0"/>
    <s v="Smartwatch"/>
    <n v="6"/>
    <n v="4322.47"/>
    <n v="5"/>
    <n v="1296.741"/>
    <n v="-24638.080000000002"/>
    <n v="17400"/>
    <n v="-42038.080000000002"/>
    <s v="Loss"/>
    <s v="Low Discount"/>
    <x v="0"/>
    <x v="2"/>
    <n v="4.0999999999999996"/>
    <s v="Medium Rating"/>
  </r>
  <r>
    <x v="253"/>
    <x v="98"/>
    <x v="3"/>
    <s v="Jaipur"/>
    <s v="Rajasthan"/>
    <s v="West"/>
    <s v="Rajesh Sharma"/>
    <x v="0"/>
    <s v="Smartwatch"/>
    <n v="1"/>
    <n v="4608"/>
    <n v="20"/>
    <n v="921.6"/>
    <n v="3686.4"/>
    <n v="2900"/>
    <n v="786.4"/>
    <s v="Profit"/>
    <s v="High Discount"/>
    <x v="3"/>
    <x v="0"/>
    <n v="3.8"/>
    <s v="Medium Rating"/>
  </r>
  <r>
    <x v="254"/>
    <x v="98"/>
    <x v="7"/>
    <s v="Kolkata"/>
    <s v="West Bengal"/>
    <s v="East"/>
    <s v="Priya Sen"/>
    <x v="4"/>
    <s v="Coffee Maker"/>
    <n v="3"/>
    <n v="5066.46"/>
    <n v="5"/>
    <n v="759.96900000000005"/>
    <n v="14439.41"/>
    <n v="10800"/>
    <n v="3639.41"/>
    <s v="Profit"/>
    <s v="Low Discount"/>
    <x v="0"/>
    <x v="0"/>
    <n v="3.1"/>
    <s v="Medium Rating"/>
  </r>
  <r>
    <x v="255"/>
    <x v="99"/>
    <x v="5"/>
    <s v="Mumbai"/>
    <s v="Maharashtra"/>
    <s v="West"/>
    <s v="Neha Kapoor"/>
    <x v="0"/>
    <s v="Smartwatch"/>
    <n v="4"/>
    <n v="4661.4399999999996"/>
    <n v="0"/>
    <n v="0"/>
    <n v="18645.759999999998"/>
    <n v="11600"/>
    <n v="7045.76"/>
    <s v="Profit"/>
    <s v="No Discount"/>
    <x v="1"/>
    <x v="0"/>
    <n v="3.4"/>
    <s v="Medium Rating"/>
  </r>
  <r>
    <x v="256"/>
    <x v="100"/>
    <x v="4"/>
    <s v="Chennai"/>
    <s v="Tamil Nadu"/>
    <s v="South"/>
    <s v="Karthik Iyer"/>
    <x v="3"/>
    <s v="Cooking Oil 1L"/>
    <n v="3"/>
    <n v="149.63"/>
    <n v="0"/>
    <n v="0"/>
    <n v="448.89"/>
    <n v="360"/>
    <n v="88.89"/>
    <s v="Profit"/>
    <s v="No Discount"/>
    <x v="0"/>
    <x v="0"/>
    <n v="5"/>
    <s v="High Rating"/>
  </r>
  <r>
    <x v="257"/>
    <x v="100"/>
    <x v="1"/>
    <s v="Hyderabad"/>
    <s v="Telangana"/>
    <s v="South"/>
    <s v="Anjali Reddy"/>
    <x v="4"/>
    <s v="Coffee Maker"/>
    <n v="6"/>
    <n v="4972.4799999999996"/>
    <n v="10"/>
    <n v="2983.4879999999998"/>
    <n v="-26851.39"/>
    <n v="21600"/>
    <n v="-48451.39"/>
    <s v="Loss"/>
    <s v="Medium Discount"/>
    <x v="4"/>
    <x v="2"/>
    <n v="3.4"/>
    <s v="Medium Rating"/>
  </r>
  <r>
    <x v="258"/>
    <x v="100"/>
    <x v="1"/>
    <s v="Hyderabad"/>
    <s v="Telangana"/>
    <s v="South"/>
    <s v="Anjali Reddy"/>
    <x v="1"/>
    <s v="Face Wash"/>
    <n v="3"/>
    <n v="353.03"/>
    <n v="20"/>
    <n v="211.81799999999998"/>
    <n v="847.27"/>
    <n v="660"/>
    <n v="187.27"/>
    <s v="Profit"/>
    <s v="High Discount"/>
    <x v="0"/>
    <x v="0"/>
    <n v="4.4000000000000004"/>
    <s v="Medium Rating"/>
  </r>
  <r>
    <x v="259"/>
    <x v="101"/>
    <x v="1"/>
    <s v="Hyderabad"/>
    <s v="Telangana"/>
    <s v="South"/>
    <s v="Anjali Reddy"/>
    <x v="0"/>
    <s v="Smartwatch"/>
    <n v="5"/>
    <n v="4508.53"/>
    <n v="10"/>
    <n v="2254.2649999999999"/>
    <n v="20288.38"/>
    <n v="14500"/>
    <n v="5788.38"/>
    <s v="Profit"/>
    <s v="Medium Discount"/>
    <x v="2"/>
    <x v="0"/>
    <n v="3.9"/>
    <s v="Medium Rating"/>
  </r>
  <r>
    <x v="260"/>
    <x v="101"/>
    <x v="3"/>
    <s v="Jaipur"/>
    <s v="Rajasthan"/>
    <s v="West"/>
    <s v="Rajesh Sharma"/>
    <x v="3"/>
    <s v="Cooking Oil 1L"/>
    <n v="2"/>
    <n v="146.52000000000001"/>
    <n v="15"/>
    <n v="43.956000000000003"/>
    <n v="-249.08"/>
    <n v="240"/>
    <n v="-489.08"/>
    <s v="Loss"/>
    <s v="High Discount"/>
    <x v="1"/>
    <x v="2"/>
    <n v="4.9000000000000004"/>
    <s v="High Rating"/>
  </r>
  <r>
    <x v="261"/>
    <x v="101"/>
    <x v="3"/>
    <s v="Jaipur"/>
    <s v="Rajasthan"/>
    <s v="West"/>
    <s v="Rajesh Sharma"/>
    <x v="3"/>
    <s v="Tea 500g"/>
    <n v="4"/>
    <n v="282.89999999999998"/>
    <n v="5"/>
    <n v="56.58"/>
    <n v="1075.02"/>
    <n v="840"/>
    <n v="235.02"/>
    <s v="Profit"/>
    <s v="Low Discount"/>
    <x v="3"/>
    <x v="0"/>
    <n v="4.2"/>
    <s v="Medium Rating"/>
  </r>
  <r>
    <x v="262"/>
    <x v="101"/>
    <x v="3"/>
    <s v="Jaipur"/>
    <s v="Rajasthan"/>
    <s v="West"/>
    <s v="Rajesh Sharma"/>
    <x v="1"/>
    <s v="Moisturizer"/>
    <n v="1"/>
    <n v="534.80999999999995"/>
    <n v="0"/>
    <n v="0"/>
    <n v="534.80999999999995"/>
    <n v="340"/>
    <n v="194.81"/>
    <s v="Profit"/>
    <s v="No Discount"/>
    <x v="0"/>
    <x v="0"/>
    <n v="4"/>
    <s v="Medium Rating"/>
  </r>
  <r>
    <x v="263"/>
    <x v="101"/>
    <x v="0"/>
    <s v="Delhi"/>
    <s v="Delhi"/>
    <s v="North"/>
    <s v="Amit Verma"/>
    <x v="1"/>
    <s v="Shampoo"/>
    <n v="6"/>
    <n v="468"/>
    <n v="10"/>
    <n v="280.8"/>
    <n v="0"/>
    <n v="1740"/>
    <n v="0"/>
    <s v="Break Even"/>
    <s v="Medium Discount"/>
    <x v="0"/>
    <x v="1"/>
    <m/>
    <s v="Not Rated"/>
  </r>
  <r>
    <x v="264"/>
    <x v="102"/>
    <x v="4"/>
    <s v="Chennai"/>
    <s v="Tamil Nadu"/>
    <s v="South"/>
    <s v="Karthik Iyer"/>
    <x v="0"/>
    <s v="Laptop"/>
    <n v="6"/>
    <n v="53862.27"/>
    <n v="0"/>
    <n v="0"/>
    <n v="323173.62"/>
    <n v="252000"/>
    <n v="71173.62"/>
    <s v="Profit"/>
    <s v="No Discount"/>
    <x v="3"/>
    <x v="0"/>
    <n v="4.7"/>
    <s v="High Rating"/>
  </r>
  <r>
    <x v="265"/>
    <x v="103"/>
    <x v="0"/>
    <s v="Delhi"/>
    <s v="Delhi"/>
    <s v="North"/>
    <s v="Amit Verma"/>
    <x v="3"/>
    <s v="Cooking Oil 1L"/>
    <n v="4"/>
    <n v="145.43"/>
    <n v="5"/>
    <n v="29.086000000000002"/>
    <n v="552.63"/>
    <n v="480"/>
    <n v="72.63"/>
    <s v="Profit"/>
    <s v="Low Discount"/>
    <x v="4"/>
    <x v="0"/>
    <n v="4.9000000000000004"/>
    <s v="High Rating"/>
  </r>
  <r>
    <x v="266"/>
    <x v="104"/>
    <x v="3"/>
    <s v="Jaipur"/>
    <s v="Rajasthan"/>
    <s v="West"/>
    <s v="Rajesh Sharma"/>
    <x v="3"/>
    <s v="Biscuits Pack"/>
    <n v="5"/>
    <n v="102.02"/>
    <n v="0"/>
    <n v="0"/>
    <n v="510.1"/>
    <n v="360"/>
    <n v="150.1"/>
    <s v="Profit"/>
    <s v="No Discount"/>
    <x v="4"/>
    <x v="0"/>
    <n v="3.2"/>
    <s v="Medium Rating"/>
  </r>
  <r>
    <x v="267"/>
    <x v="104"/>
    <x v="7"/>
    <s v="Kolkata"/>
    <s v="West Bengal"/>
    <s v="East"/>
    <s v="Priya Sen"/>
    <x v="0"/>
    <s v="Headphones"/>
    <n v="3"/>
    <n v="1850.62"/>
    <n v="10"/>
    <n v="555.18600000000004"/>
    <n v="-4996.67"/>
    <n v="3300"/>
    <n v="-8296.67"/>
    <s v="Loss"/>
    <s v="Medium Discount"/>
    <x v="1"/>
    <x v="2"/>
    <n v="3.2"/>
    <s v="Medium Rating"/>
  </r>
  <r>
    <x v="268"/>
    <x v="105"/>
    <x v="3"/>
    <s v="Jaipur"/>
    <s v="Rajasthan"/>
    <s v="West"/>
    <s v="Rajesh Sharma"/>
    <x v="3"/>
    <s v="Cooking Oil 1L"/>
    <n v="2"/>
    <n v="150.22"/>
    <n v="0"/>
    <n v="0"/>
    <n v="300.44"/>
    <n v="240"/>
    <n v="60.44"/>
    <s v="Profit"/>
    <s v="No Discount"/>
    <x v="3"/>
    <x v="0"/>
    <n v="4.5"/>
    <s v="High Rating"/>
  </r>
  <r>
    <x v="269"/>
    <x v="105"/>
    <x v="3"/>
    <s v="Jaipur"/>
    <s v="Rajasthan"/>
    <s v="West"/>
    <s v="Rajesh Sharma"/>
    <x v="1"/>
    <s v="Shampoo"/>
    <n v="5"/>
    <n v="460.06"/>
    <n v="10"/>
    <n v="230.03"/>
    <n v="2070.27"/>
    <n v="1450"/>
    <n v="620.27"/>
    <s v="Profit"/>
    <s v="Medium Discount"/>
    <x v="3"/>
    <x v="0"/>
    <n v="3.8"/>
    <s v="Medium Rating"/>
  </r>
  <r>
    <x v="270"/>
    <x v="105"/>
    <x v="1"/>
    <s v="Hyderabad"/>
    <s v="Telangana"/>
    <s v="South"/>
    <s v="Anjali Reddy"/>
    <x v="3"/>
    <s v="Cooking Oil 1L"/>
    <n v="5"/>
    <n v="148.12"/>
    <n v="0"/>
    <n v="0"/>
    <n v="740.6"/>
    <n v="600"/>
    <n v="140.6"/>
    <s v="Profit"/>
    <s v="No Discount"/>
    <x v="3"/>
    <x v="0"/>
    <n v="4"/>
    <s v="Medium Rating"/>
  </r>
  <r>
    <x v="271"/>
    <x v="106"/>
    <x v="0"/>
    <s v="Delhi"/>
    <s v="Delhi"/>
    <s v="North"/>
    <s v="Amit Verma"/>
    <x v="3"/>
    <s v="Tea 500g"/>
    <n v="3"/>
    <n v="270.99"/>
    <n v="5"/>
    <n v="40.648500000000006"/>
    <n v="-772.32"/>
    <n v="630"/>
    <n v="-1402.32"/>
    <s v="Loss"/>
    <s v="Low Discount"/>
    <x v="3"/>
    <x v="2"/>
    <n v="3.2"/>
    <s v="Medium Rating"/>
  </r>
  <r>
    <x v="272"/>
    <x v="106"/>
    <x v="2"/>
    <s v="Bengaluru"/>
    <s v="Karnataka"/>
    <s v="South"/>
    <s v="Vikram Rao"/>
    <x v="4"/>
    <s v="Water Bottle"/>
    <n v="1"/>
    <n v="699.13"/>
    <n v="15"/>
    <n v="104.8695"/>
    <n v="594.26"/>
    <n v="400"/>
    <n v="194.26"/>
    <s v="Profit"/>
    <s v="High Discount"/>
    <x v="0"/>
    <x v="0"/>
    <n v="3.7"/>
    <s v="Medium Rating"/>
  </r>
  <r>
    <x v="273"/>
    <x v="107"/>
    <x v="3"/>
    <s v="Jaipur"/>
    <s v="Rajasthan"/>
    <s v="West"/>
    <s v="Rajesh Sharma"/>
    <x v="4"/>
    <s v="Dinner Set"/>
    <n v="4"/>
    <n v="2364.37"/>
    <n v="0"/>
    <n v="0"/>
    <n v="0"/>
    <n v="6200"/>
    <n v="0"/>
    <s v="Break Even"/>
    <s v="No Discount"/>
    <x v="0"/>
    <x v="1"/>
    <m/>
    <s v="Not Rated"/>
  </r>
  <r>
    <x v="274"/>
    <x v="107"/>
    <x v="0"/>
    <s v="Delhi"/>
    <s v="Delhi"/>
    <s v="North"/>
    <s v="Amit Verma"/>
    <x v="1"/>
    <s v="Perfume"/>
    <n v="2"/>
    <n v="1795.49"/>
    <n v="10"/>
    <n v="359.09800000000001"/>
    <n v="3231.88"/>
    <n v="2100"/>
    <n v="1131.8800000000001"/>
    <s v="Profit"/>
    <s v="Medium Discount"/>
    <x v="3"/>
    <x v="0"/>
    <n v="4.7"/>
    <s v="High Rating"/>
  </r>
  <r>
    <x v="275"/>
    <x v="108"/>
    <x v="3"/>
    <s v="Jaipur"/>
    <s v="Rajasthan"/>
    <s v="West"/>
    <s v="Rajesh Sharma"/>
    <x v="4"/>
    <s v="Mixer Grinder"/>
    <n v="3"/>
    <n v="3748.85"/>
    <n v="10"/>
    <n v="1124.655"/>
    <n v="-10121.9"/>
    <n v="8100"/>
    <n v="-18221.900000000001"/>
    <s v="Loss"/>
    <s v="Medium Discount"/>
    <x v="3"/>
    <x v="2"/>
    <n v="4.5"/>
    <s v="High Rating"/>
  </r>
  <r>
    <x v="276"/>
    <x v="108"/>
    <x v="7"/>
    <s v="Kolkata"/>
    <s v="West Bengal"/>
    <s v="East"/>
    <s v="Priya Sen"/>
    <x v="3"/>
    <s v="Rice 5kg"/>
    <n v="6"/>
    <n v="679.31"/>
    <n v="5"/>
    <n v="203.79300000000001"/>
    <n v="0"/>
    <n v="3060"/>
    <n v="0"/>
    <s v="Break Even"/>
    <s v="Low Discount"/>
    <x v="1"/>
    <x v="1"/>
    <m/>
    <s v="Not Rated"/>
  </r>
  <r>
    <x v="277"/>
    <x v="108"/>
    <x v="4"/>
    <s v="Chennai"/>
    <s v="Tamil Nadu"/>
    <s v="South"/>
    <s v="Karthik Iyer"/>
    <x v="4"/>
    <s v="Dinner Set"/>
    <n v="2"/>
    <n v="2306.27"/>
    <n v="0"/>
    <n v="0"/>
    <n v="4612.54"/>
    <n v="3100"/>
    <n v="1512.54"/>
    <s v="Profit"/>
    <s v="No Discount"/>
    <x v="1"/>
    <x v="0"/>
    <n v="3.9"/>
    <s v="Medium Rating"/>
  </r>
  <r>
    <x v="278"/>
    <x v="108"/>
    <x v="7"/>
    <s v="Kolkata"/>
    <s v="West Bengal"/>
    <s v="East"/>
    <s v="Priya Sen"/>
    <x v="0"/>
    <s v="Smartwatch"/>
    <n v="3"/>
    <n v="4639.79"/>
    <n v="10"/>
    <n v="1391.9369999999999"/>
    <n v="12527.43"/>
    <n v="8700"/>
    <n v="3827.43"/>
    <s v="Profit"/>
    <s v="Medium Discount"/>
    <x v="0"/>
    <x v="0"/>
    <n v="4.4000000000000004"/>
    <s v="Medium Rating"/>
  </r>
  <r>
    <x v="279"/>
    <x v="109"/>
    <x v="6"/>
    <s v="Lucknow"/>
    <s v="Uttar Pradesh"/>
    <s v="North"/>
    <s v="Sanjay Singh"/>
    <x v="4"/>
    <s v="Mixer Grinder"/>
    <n v="2"/>
    <n v="3807.61"/>
    <n v="5"/>
    <n v="380.76099999999997"/>
    <n v="7234.46"/>
    <n v="5400"/>
    <n v="1834.46"/>
    <s v="Profit"/>
    <s v="Low Discount"/>
    <x v="0"/>
    <x v="0"/>
    <n v="4.9000000000000004"/>
    <s v="High Rating"/>
  </r>
  <r>
    <x v="280"/>
    <x v="109"/>
    <x v="4"/>
    <s v="Chennai"/>
    <s v="Tamil Nadu"/>
    <s v="South"/>
    <s v="Karthik Iyer"/>
    <x v="4"/>
    <s v="Mixer Grinder"/>
    <n v="3"/>
    <n v="3983.76"/>
    <n v="5"/>
    <n v="597.56399999999996"/>
    <n v="11353.72"/>
    <n v="8100"/>
    <n v="3253.72"/>
    <s v="Profit"/>
    <s v="Low Discount"/>
    <x v="1"/>
    <x v="0"/>
    <n v="3"/>
    <s v="Medium Rating"/>
  </r>
  <r>
    <x v="281"/>
    <x v="109"/>
    <x v="1"/>
    <s v="Hyderabad"/>
    <s v="Telangana"/>
    <s v="South"/>
    <s v="Anjali Reddy"/>
    <x v="1"/>
    <s v="Shampoo"/>
    <n v="1"/>
    <n v="429.13"/>
    <n v="0"/>
    <n v="0"/>
    <n v="429.13"/>
    <n v="290"/>
    <n v="139.13"/>
    <s v="Profit"/>
    <s v="No Discount"/>
    <x v="3"/>
    <x v="0"/>
    <n v="3.2"/>
    <s v="Medium Rating"/>
  </r>
  <r>
    <x v="282"/>
    <x v="110"/>
    <x v="0"/>
    <s v="Delhi"/>
    <s v="Delhi"/>
    <s v="North"/>
    <s v="Amit Verma"/>
    <x v="1"/>
    <s v="Moisturizer"/>
    <n v="3"/>
    <n v="568.09"/>
    <n v="15"/>
    <n v="255.6405"/>
    <n v="1448.63"/>
    <n v="1020"/>
    <n v="428.63"/>
    <s v="Profit"/>
    <s v="High Discount"/>
    <x v="1"/>
    <x v="0"/>
    <n v="5"/>
    <s v="High Rating"/>
  </r>
  <r>
    <x v="283"/>
    <x v="111"/>
    <x v="7"/>
    <s v="Kolkata"/>
    <s v="West Bengal"/>
    <s v="East"/>
    <s v="Priya Sen"/>
    <x v="1"/>
    <s v="Moisturizer"/>
    <n v="6"/>
    <n v="542.82000000000005"/>
    <n v="5"/>
    <n v="162.846"/>
    <n v="3094.07"/>
    <n v="2040"/>
    <n v="1054.07"/>
    <s v="Profit"/>
    <s v="Low Discount"/>
    <x v="1"/>
    <x v="0"/>
    <n v="3"/>
    <s v="Medium Rating"/>
  </r>
  <r>
    <x v="284"/>
    <x v="111"/>
    <x v="4"/>
    <s v="Chennai"/>
    <s v="Tamil Nadu"/>
    <s v="South"/>
    <s v="Karthik Iyer"/>
    <x v="1"/>
    <s v="Shampoo"/>
    <n v="3"/>
    <n v="465.14"/>
    <n v="5"/>
    <n v="69.771000000000001"/>
    <n v="0"/>
    <n v="870"/>
    <n v="0"/>
    <s v="Break Even"/>
    <s v="Low Discount"/>
    <x v="2"/>
    <x v="1"/>
    <m/>
    <s v="Not Rated"/>
  </r>
  <r>
    <x v="285"/>
    <x v="111"/>
    <x v="6"/>
    <s v="Lucknow"/>
    <s v="Uttar Pradesh"/>
    <s v="North"/>
    <s v="Sanjay Singh"/>
    <x v="0"/>
    <s v="Smartwatch"/>
    <n v="3"/>
    <n v="4526.12"/>
    <n v="0"/>
    <n v="0"/>
    <n v="13578.36"/>
    <n v="8700"/>
    <n v="4878.3599999999997"/>
    <s v="Profit"/>
    <s v="No Discount"/>
    <x v="2"/>
    <x v="0"/>
    <n v="4.2"/>
    <s v="Medium Rating"/>
  </r>
  <r>
    <x v="286"/>
    <x v="111"/>
    <x v="0"/>
    <s v="Delhi"/>
    <s v="Delhi"/>
    <s v="North"/>
    <s v="Amit Verma"/>
    <x v="4"/>
    <s v="Coffee Maker"/>
    <n v="2"/>
    <n v="4980.3500000000004"/>
    <n v="0"/>
    <n v="0"/>
    <n v="9960.7000000000007"/>
    <n v="7200"/>
    <n v="2760.7"/>
    <s v="Profit"/>
    <s v="No Discount"/>
    <x v="3"/>
    <x v="0"/>
    <n v="3.2"/>
    <s v="Medium Rating"/>
  </r>
  <r>
    <x v="287"/>
    <x v="111"/>
    <x v="0"/>
    <s v="Delhi"/>
    <s v="Delhi"/>
    <s v="North"/>
    <s v="Amit Verma"/>
    <x v="1"/>
    <s v="Moisturizer"/>
    <n v="4"/>
    <n v="554.72"/>
    <n v="0"/>
    <n v="0"/>
    <n v="2218.88"/>
    <n v="1360"/>
    <n v="858.88"/>
    <s v="Profit"/>
    <s v="No Discount"/>
    <x v="4"/>
    <x v="0"/>
    <n v="4.5"/>
    <s v="High Rating"/>
  </r>
  <r>
    <x v="288"/>
    <x v="112"/>
    <x v="2"/>
    <s v="Bengaluru"/>
    <s v="Karnataka"/>
    <s v="South"/>
    <s v="Vikram Rao"/>
    <x v="4"/>
    <s v="Coffee Maker"/>
    <n v="3"/>
    <n v="5277.08"/>
    <n v="0"/>
    <n v="0"/>
    <n v="-15831.24"/>
    <n v="10800"/>
    <n v="-26631.24"/>
    <s v="Loss"/>
    <s v="No Discount"/>
    <x v="1"/>
    <x v="2"/>
    <n v="4.4000000000000004"/>
    <s v="Medium Rating"/>
  </r>
  <r>
    <x v="289"/>
    <x v="112"/>
    <x v="1"/>
    <s v="Hyderabad"/>
    <s v="Telangana"/>
    <s v="South"/>
    <s v="Anjali Reddy"/>
    <x v="4"/>
    <s v="Coffee Maker"/>
    <n v="6"/>
    <n v="4951.6499999999996"/>
    <n v="5"/>
    <n v="1485.4949999999999"/>
    <n v="28224.400000000001"/>
    <n v="21600"/>
    <n v="6624.4"/>
    <s v="Profit"/>
    <s v="Low Discount"/>
    <x v="3"/>
    <x v="0"/>
    <n v="4.5999999999999996"/>
    <s v="High Rating"/>
  </r>
  <r>
    <x v="290"/>
    <x v="112"/>
    <x v="2"/>
    <s v="Bengaluru"/>
    <s v="Karnataka"/>
    <s v="South"/>
    <s v="Vikram Rao"/>
    <x v="2"/>
    <s v="T-Shirt"/>
    <n v="4"/>
    <n v="912.98"/>
    <n v="5"/>
    <n v="182.59599999999998"/>
    <n v="0"/>
    <n v="2000"/>
    <n v="0"/>
    <s v="Break Even"/>
    <s v="Low Discount"/>
    <x v="0"/>
    <x v="1"/>
    <m/>
    <s v="Not Rated"/>
  </r>
  <r>
    <x v="291"/>
    <x v="113"/>
    <x v="5"/>
    <s v="Mumbai"/>
    <s v="Maharashtra"/>
    <s v="West"/>
    <s v="Neha Kapoor"/>
    <x v="2"/>
    <s v="Sneakers"/>
    <n v="2"/>
    <n v="4201.09"/>
    <n v="10"/>
    <n v="840.21800000000007"/>
    <n v="7561.96"/>
    <n v="5200"/>
    <n v="2361.96"/>
    <s v="Profit"/>
    <s v="Medium Discount"/>
    <x v="4"/>
    <x v="0"/>
    <n v="4.5999999999999996"/>
    <s v="High Rating"/>
  </r>
  <r>
    <x v="292"/>
    <x v="114"/>
    <x v="4"/>
    <s v="Chennai"/>
    <s v="Tamil Nadu"/>
    <s v="South"/>
    <s v="Karthik Iyer"/>
    <x v="4"/>
    <s v="Mixer Grinder"/>
    <n v="1"/>
    <n v="3783.29"/>
    <n v="0"/>
    <n v="0"/>
    <n v="3783.29"/>
    <n v="2700"/>
    <n v="1083.29"/>
    <s v="Profit"/>
    <s v="No Discount"/>
    <x v="0"/>
    <x v="0"/>
    <n v="3.4"/>
    <s v="Medium Rating"/>
  </r>
  <r>
    <x v="293"/>
    <x v="115"/>
    <x v="3"/>
    <s v="Jaipur"/>
    <s v="Rajasthan"/>
    <s v="West"/>
    <s v="Rajesh Sharma"/>
    <x v="2"/>
    <s v="Jacket"/>
    <n v="2"/>
    <n v="3093.86"/>
    <n v="5"/>
    <n v="309.38600000000002"/>
    <n v="5878.33"/>
    <n v="3800"/>
    <n v="2078.33"/>
    <s v="Profit"/>
    <s v="Low Discount"/>
    <x v="2"/>
    <x v="0"/>
    <n v="4.4000000000000004"/>
    <s v="Medium Rating"/>
  </r>
  <r>
    <x v="294"/>
    <x v="115"/>
    <x v="0"/>
    <s v="Delhi"/>
    <s v="Delhi"/>
    <s v="North"/>
    <s v="Amit Verma"/>
    <x v="4"/>
    <s v="Water Bottle"/>
    <n v="2"/>
    <n v="732.29"/>
    <n v="10"/>
    <n v="146.458"/>
    <n v="1318.12"/>
    <n v="800"/>
    <n v="518.12"/>
    <s v="Profit"/>
    <s v="Medium Discount"/>
    <x v="1"/>
    <x v="0"/>
    <n v="3.8"/>
    <s v="Medium Rating"/>
  </r>
  <r>
    <x v="295"/>
    <x v="115"/>
    <x v="0"/>
    <s v="Delhi"/>
    <s v="Delhi"/>
    <s v="North"/>
    <s v="Amit Verma"/>
    <x v="4"/>
    <s v="Water Bottle"/>
    <n v="4"/>
    <n v="701.18"/>
    <n v="20"/>
    <n v="560.94399999999996"/>
    <n v="2243.7800000000002"/>
    <n v="1600"/>
    <n v="643.78"/>
    <s v="Profit"/>
    <s v="High Discount"/>
    <x v="2"/>
    <x v="0"/>
    <n v="4.0999999999999996"/>
    <s v="Medium Rating"/>
  </r>
  <r>
    <x v="296"/>
    <x v="115"/>
    <x v="5"/>
    <s v="Mumbai"/>
    <s v="Maharashtra"/>
    <s v="West"/>
    <s v="Neha Kapoor"/>
    <x v="0"/>
    <s v="Smartphone"/>
    <n v="3"/>
    <n v="21266.33"/>
    <n v="0"/>
    <n v="0"/>
    <n v="63798.99"/>
    <n v="48000"/>
    <n v="15798.99"/>
    <s v="Profit"/>
    <s v="No Discount"/>
    <x v="2"/>
    <x v="0"/>
    <n v="4.0999999999999996"/>
    <s v="Medium Rating"/>
  </r>
  <r>
    <x v="297"/>
    <x v="116"/>
    <x v="3"/>
    <s v="Jaipur"/>
    <s v="Rajasthan"/>
    <s v="West"/>
    <s v="Rajesh Sharma"/>
    <x v="0"/>
    <s v="Smartwatch"/>
    <n v="3"/>
    <n v="4469.29"/>
    <n v="15"/>
    <n v="2011.1804999999999"/>
    <n v="11396.69"/>
    <n v="8700"/>
    <n v="2696.69"/>
    <s v="Profit"/>
    <s v="High Discount"/>
    <x v="4"/>
    <x v="0"/>
    <n v="4.7"/>
    <s v="High Rating"/>
  </r>
  <r>
    <x v="298"/>
    <x v="116"/>
    <x v="1"/>
    <s v="Hyderabad"/>
    <s v="Telangana"/>
    <s v="South"/>
    <s v="Anjali Reddy"/>
    <x v="0"/>
    <s v="Smartwatch"/>
    <n v="6"/>
    <n v="4550.6400000000003"/>
    <n v="0"/>
    <n v="0"/>
    <n v="27303.84"/>
    <n v="17400"/>
    <n v="9903.84"/>
    <s v="Profit"/>
    <s v="No Discount"/>
    <x v="0"/>
    <x v="0"/>
    <n v="3.2"/>
    <s v="Medium Rating"/>
  </r>
  <r>
    <x v="299"/>
    <x v="116"/>
    <x v="2"/>
    <s v="Bengaluru"/>
    <s v="Karnataka"/>
    <s v="South"/>
    <s v="Vikram Rao"/>
    <x v="1"/>
    <s v="Face Wash"/>
    <n v="2"/>
    <n v="361.16"/>
    <n v="0"/>
    <n v="0"/>
    <n v="0"/>
    <n v="440"/>
    <n v="0"/>
    <s v="Break Even"/>
    <s v="No Discount"/>
    <x v="0"/>
    <x v="1"/>
    <m/>
    <s v="Not Rated"/>
  </r>
  <r>
    <x v="300"/>
    <x v="116"/>
    <x v="4"/>
    <s v="Chennai"/>
    <s v="Tamil Nadu"/>
    <s v="South"/>
    <s v="Karthik Iyer"/>
    <x v="0"/>
    <s v="Headphones"/>
    <n v="1"/>
    <n v="1803.34"/>
    <n v="5"/>
    <n v="90.166999999999987"/>
    <n v="1713.17"/>
    <n v="1100"/>
    <n v="613.16999999999996"/>
    <s v="Profit"/>
    <s v="Low Discount"/>
    <x v="4"/>
    <x v="0"/>
    <n v="3.3"/>
    <s v="Medium Rating"/>
  </r>
  <r>
    <x v="301"/>
    <x v="116"/>
    <x v="2"/>
    <s v="Bengaluru"/>
    <s v="Karnataka"/>
    <s v="South"/>
    <s v="Vikram Rao"/>
    <x v="4"/>
    <s v="Dinner Set"/>
    <n v="1"/>
    <n v="2463.89"/>
    <n v="5"/>
    <n v="123.19449999999999"/>
    <n v="2340.6999999999998"/>
    <n v="1550"/>
    <n v="790.7"/>
    <s v="Profit"/>
    <s v="Low Discount"/>
    <x v="0"/>
    <x v="0"/>
    <n v="5"/>
    <s v="High Rating"/>
  </r>
  <r>
    <x v="302"/>
    <x v="117"/>
    <x v="5"/>
    <s v="Mumbai"/>
    <s v="Maharashtra"/>
    <s v="West"/>
    <s v="Neha Kapoor"/>
    <x v="0"/>
    <s v="Smartphone"/>
    <n v="3"/>
    <n v="22762.39"/>
    <n v="10"/>
    <n v="6828.7169999999996"/>
    <n v="61458.45"/>
    <n v="48000"/>
    <n v="13458.45"/>
    <s v="Profit"/>
    <s v="Medium Discount"/>
    <x v="2"/>
    <x v="0"/>
    <n v="4.0999999999999996"/>
    <s v="Medium Rating"/>
  </r>
  <r>
    <x v="303"/>
    <x v="117"/>
    <x v="7"/>
    <s v="Kolkata"/>
    <s v="West Bengal"/>
    <s v="East"/>
    <s v="Priya Sen"/>
    <x v="2"/>
    <s v="T-Shirt"/>
    <n v="6"/>
    <n v="921.56"/>
    <n v="0"/>
    <n v="0"/>
    <n v="5529.36"/>
    <n v="3000"/>
    <n v="2529.36"/>
    <s v="Profit"/>
    <s v="No Discount"/>
    <x v="2"/>
    <x v="0"/>
    <n v="4.7"/>
    <s v="High Rating"/>
  </r>
  <r>
    <x v="304"/>
    <x v="117"/>
    <x v="4"/>
    <s v="Chennai"/>
    <s v="Tamil Nadu"/>
    <s v="South"/>
    <s v="Karthik Iyer"/>
    <x v="0"/>
    <s v="Laptop"/>
    <n v="4"/>
    <n v="54423.97"/>
    <n v="5"/>
    <n v="10884.794"/>
    <n v="206811.09"/>
    <n v="168000"/>
    <n v="38811.089999999997"/>
    <s v="Profit"/>
    <s v="Low Discount"/>
    <x v="0"/>
    <x v="0"/>
    <n v="3.2"/>
    <s v="Medium Rating"/>
  </r>
  <r>
    <x v="305"/>
    <x v="117"/>
    <x v="0"/>
    <s v="Delhi"/>
    <s v="Delhi"/>
    <s v="North"/>
    <s v="Amit Verma"/>
    <x v="1"/>
    <s v="Perfume"/>
    <n v="5"/>
    <n v="1831.22"/>
    <n v="0"/>
    <n v="0"/>
    <n v="9156.1"/>
    <n v="5250"/>
    <n v="3906.1"/>
    <s v="Profit"/>
    <s v="No Discount"/>
    <x v="0"/>
    <x v="0"/>
    <n v="4.2"/>
    <s v="Medium Rating"/>
  </r>
  <r>
    <x v="306"/>
    <x v="118"/>
    <x v="1"/>
    <s v="Hyderabad"/>
    <s v="Telangana"/>
    <s v="South"/>
    <s v="Anjali Reddy"/>
    <x v="4"/>
    <s v="Mixer Grinder"/>
    <n v="4"/>
    <n v="3686.96"/>
    <n v="10"/>
    <n v="1474.7839999999999"/>
    <n v="13273.06"/>
    <n v="10800"/>
    <n v="2473.06"/>
    <s v="Profit"/>
    <s v="Medium Discount"/>
    <x v="2"/>
    <x v="0"/>
    <n v="3.3"/>
    <s v="Medium Rating"/>
  </r>
  <r>
    <x v="307"/>
    <x v="118"/>
    <x v="7"/>
    <s v="Kolkata"/>
    <s v="West Bengal"/>
    <s v="East"/>
    <s v="Priya Sen"/>
    <x v="1"/>
    <s v="Shampoo"/>
    <n v="5"/>
    <n v="471.19"/>
    <n v="10"/>
    <n v="235.595"/>
    <n v="2120.36"/>
    <n v="1450"/>
    <n v="670.36"/>
    <s v="Profit"/>
    <s v="Medium Discount"/>
    <x v="3"/>
    <x v="0"/>
    <n v="4.8"/>
    <s v="High Rating"/>
  </r>
  <r>
    <x v="308"/>
    <x v="118"/>
    <x v="0"/>
    <s v="Delhi"/>
    <s v="Delhi"/>
    <s v="North"/>
    <s v="Amit Verma"/>
    <x v="2"/>
    <s v="Jacket"/>
    <n v="6"/>
    <n v="3125.76"/>
    <n v="0"/>
    <n v="0"/>
    <n v="18754.560000000001"/>
    <n v="11400"/>
    <n v="7354.56"/>
    <s v="Profit"/>
    <s v="No Discount"/>
    <x v="3"/>
    <x v="0"/>
    <n v="3.4"/>
    <s v="Medium Rating"/>
  </r>
  <r>
    <x v="309"/>
    <x v="118"/>
    <x v="2"/>
    <s v="Bengaluru"/>
    <s v="Karnataka"/>
    <s v="South"/>
    <s v="Vikram Rao"/>
    <x v="0"/>
    <s v="Smartwatch"/>
    <n v="3"/>
    <n v="4541.2"/>
    <n v="10"/>
    <n v="1362.36"/>
    <n v="12261.24"/>
    <n v="8700"/>
    <n v="3561.24"/>
    <s v="Profit"/>
    <s v="Medium Discount"/>
    <x v="3"/>
    <x v="0"/>
    <n v="4.8"/>
    <s v="High Rating"/>
  </r>
  <r>
    <x v="310"/>
    <x v="119"/>
    <x v="5"/>
    <s v="Mumbai"/>
    <s v="Maharashtra"/>
    <s v="West"/>
    <s v="Neha Kapoor"/>
    <x v="2"/>
    <s v="Jacket"/>
    <n v="4"/>
    <n v="3343.19"/>
    <n v="10"/>
    <n v="1337.2760000000001"/>
    <n v="12035.48"/>
    <n v="7600"/>
    <n v="4435.4799999999996"/>
    <s v="Profit"/>
    <s v="Medium Discount"/>
    <x v="3"/>
    <x v="0"/>
    <n v="4.5"/>
    <s v="High Rating"/>
  </r>
  <r>
    <x v="311"/>
    <x v="119"/>
    <x v="0"/>
    <s v="Delhi"/>
    <s v="Delhi"/>
    <s v="North"/>
    <s v="Amit Verma"/>
    <x v="2"/>
    <s v="T-Shirt"/>
    <n v="1"/>
    <n v="939.16"/>
    <n v="10"/>
    <n v="93.915999999999997"/>
    <n v="845.24"/>
    <n v="500"/>
    <n v="345.24"/>
    <s v="Profit"/>
    <s v="Medium Discount"/>
    <x v="1"/>
    <x v="0"/>
    <n v="4"/>
    <s v="Medium Rating"/>
  </r>
  <r>
    <x v="312"/>
    <x v="120"/>
    <x v="6"/>
    <s v="Lucknow"/>
    <s v="Uttar Pradesh"/>
    <s v="North"/>
    <s v="Sanjay Singh"/>
    <x v="1"/>
    <s v="Perfume"/>
    <n v="5"/>
    <n v="1861.63"/>
    <n v="20"/>
    <n v="1861.6300000000003"/>
    <n v="7446.52"/>
    <n v="5250"/>
    <n v="2196.52"/>
    <s v="Profit"/>
    <s v="High Discount"/>
    <x v="3"/>
    <x v="0"/>
    <n v="4.2"/>
    <s v="Medium Rating"/>
  </r>
  <r>
    <x v="313"/>
    <x v="120"/>
    <x v="4"/>
    <s v="Chennai"/>
    <s v="Tamil Nadu"/>
    <s v="South"/>
    <s v="Karthik Iyer"/>
    <x v="4"/>
    <s v="Mixer Grinder"/>
    <n v="5"/>
    <n v="3936.83"/>
    <n v="0"/>
    <n v="0"/>
    <n v="19684.150000000001"/>
    <n v="13500"/>
    <n v="6184.15"/>
    <s v="Profit"/>
    <s v="No Discount"/>
    <x v="1"/>
    <x v="0"/>
    <n v="4.8"/>
    <s v="High Rating"/>
  </r>
  <r>
    <x v="314"/>
    <x v="120"/>
    <x v="1"/>
    <s v="Hyderabad"/>
    <s v="Telangana"/>
    <s v="South"/>
    <s v="Anjali Reddy"/>
    <x v="4"/>
    <s v="Mixer Grinder"/>
    <n v="6"/>
    <n v="3728.15"/>
    <n v="0"/>
    <n v="0"/>
    <n v="22368.9"/>
    <n v="16200"/>
    <n v="6168.9"/>
    <s v="Profit"/>
    <s v="No Discount"/>
    <x v="1"/>
    <x v="0"/>
    <n v="3.8"/>
    <s v="Medium Rating"/>
  </r>
  <r>
    <x v="315"/>
    <x v="121"/>
    <x v="0"/>
    <s v="Delhi"/>
    <s v="Delhi"/>
    <s v="North"/>
    <s v="Amit Verma"/>
    <x v="0"/>
    <s v="Smartphone"/>
    <n v="2"/>
    <n v="22541.42"/>
    <n v="5"/>
    <n v="2254.1419999999998"/>
    <n v="42828.7"/>
    <n v="32000"/>
    <n v="10828.7"/>
    <s v="Profit"/>
    <s v="Low Discount"/>
    <x v="1"/>
    <x v="0"/>
    <n v="4.3"/>
    <s v="Medium Rating"/>
  </r>
  <r>
    <x v="316"/>
    <x v="122"/>
    <x v="1"/>
    <s v="Hyderabad"/>
    <s v="Telangana"/>
    <s v="South"/>
    <s v="Anjali Reddy"/>
    <x v="1"/>
    <s v="Face Wash"/>
    <n v="5"/>
    <n v="360.68"/>
    <n v="5"/>
    <n v="90.17"/>
    <n v="1713.23"/>
    <n v="1100"/>
    <n v="613.23"/>
    <s v="Profit"/>
    <s v="Low Discount"/>
    <x v="2"/>
    <x v="0"/>
    <n v="4.5999999999999996"/>
    <s v="High Rating"/>
  </r>
  <r>
    <x v="317"/>
    <x v="122"/>
    <x v="4"/>
    <s v="Chennai"/>
    <s v="Tamil Nadu"/>
    <s v="South"/>
    <s v="Karthik Iyer"/>
    <x v="2"/>
    <s v="Jacket"/>
    <n v="5"/>
    <n v="3064.31"/>
    <n v="5"/>
    <n v="766.07749999999999"/>
    <n v="14555.47"/>
    <n v="9500"/>
    <n v="5055.47"/>
    <s v="Profit"/>
    <s v="Low Discount"/>
    <x v="1"/>
    <x v="0"/>
    <n v="4.5999999999999996"/>
    <s v="High Rating"/>
  </r>
  <r>
    <x v="318"/>
    <x v="122"/>
    <x v="1"/>
    <s v="Hyderabad"/>
    <s v="Telangana"/>
    <s v="South"/>
    <s v="Anjali Reddy"/>
    <x v="3"/>
    <s v="Cooking Oil 1L"/>
    <n v="5"/>
    <n v="148.13"/>
    <n v="5"/>
    <n v="37.032499999999999"/>
    <n v="703.62"/>
    <n v="600"/>
    <n v="103.62"/>
    <s v="Profit"/>
    <s v="Low Discount"/>
    <x v="2"/>
    <x v="0"/>
    <n v="3.7"/>
    <s v="Medium Rating"/>
  </r>
  <r>
    <x v="319"/>
    <x v="122"/>
    <x v="6"/>
    <s v="Lucknow"/>
    <s v="Uttar Pradesh"/>
    <s v="North"/>
    <s v="Sanjay Singh"/>
    <x v="3"/>
    <s v="Cooking Oil 1L"/>
    <n v="5"/>
    <n v="147.88999999999999"/>
    <n v="15"/>
    <n v="110.91749999999998"/>
    <n v="628.53"/>
    <n v="600"/>
    <n v="28.53"/>
    <s v="Profit"/>
    <s v="High Discount"/>
    <x v="2"/>
    <x v="0"/>
    <n v="4.0999999999999996"/>
    <s v="Medium Rating"/>
  </r>
  <r>
    <x v="320"/>
    <x v="123"/>
    <x v="7"/>
    <s v="Kolkata"/>
    <s v="West Bengal"/>
    <s v="East"/>
    <s v="Priya Sen"/>
    <x v="2"/>
    <s v="Jeans"/>
    <n v="5"/>
    <n v="1872.24"/>
    <n v="20"/>
    <n v="1872.24"/>
    <n v="7488.96"/>
    <n v="5250"/>
    <n v="2238.96"/>
    <s v="Profit"/>
    <s v="High Discount"/>
    <x v="3"/>
    <x v="0"/>
    <n v="3.5"/>
    <s v="Medium Rating"/>
  </r>
  <r>
    <x v="321"/>
    <x v="124"/>
    <x v="1"/>
    <s v="Hyderabad"/>
    <s v="Telangana"/>
    <s v="South"/>
    <s v="Anjali Reddy"/>
    <x v="3"/>
    <s v="Rice 5kg"/>
    <n v="3"/>
    <n v="681.1"/>
    <n v="5"/>
    <n v="102.16500000000001"/>
    <n v="1941.13"/>
    <n v="1530"/>
    <n v="411.13"/>
    <s v="Profit"/>
    <s v="Low Discount"/>
    <x v="4"/>
    <x v="0"/>
    <n v="4.5999999999999996"/>
    <s v="High Rating"/>
  </r>
  <r>
    <x v="322"/>
    <x v="124"/>
    <x v="3"/>
    <s v="Jaipur"/>
    <s v="Rajasthan"/>
    <s v="West"/>
    <s v="Rajesh Sharma"/>
    <x v="1"/>
    <s v="Moisturizer"/>
    <n v="2"/>
    <n v="523.32000000000005"/>
    <n v="5"/>
    <n v="52.332000000000008"/>
    <n v="994.31"/>
    <n v="680"/>
    <n v="314.31"/>
    <s v="Profit"/>
    <s v="Low Discount"/>
    <x v="3"/>
    <x v="0"/>
    <n v="3.6"/>
    <s v="Medium Rating"/>
  </r>
  <r>
    <x v="323"/>
    <x v="125"/>
    <x v="1"/>
    <s v="Hyderabad"/>
    <s v="Telangana"/>
    <s v="South"/>
    <s v="Anjali Reddy"/>
    <x v="2"/>
    <s v="T-Shirt"/>
    <n v="5"/>
    <n v="875.06"/>
    <n v="5"/>
    <n v="218.76499999999996"/>
    <n v="0"/>
    <n v="2500"/>
    <n v="0"/>
    <s v="Break Even"/>
    <s v="Low Discount"/>
    <x v="2"/>
    <x v="1"/>
    <m/>
    <s v="Not Rated"/>
  </r>
  <r>
    <x v="324"/>
    <x v="125"/>
    <x v="6"/>
    <s v="Lucknow"/>
    <s v="Uttar Pradesh"/>
    <s v="North"/>
    <s v="Sanjay Singh"/>
    <x v="3"/>
    <s v="Biscuits Pack"/>
    <n v="4"/>
    <n v="95.11"/>
    <n v="15"/>
    <n v="57.066000000000003"/>
    <n v="323.37"/>
    <n v="288"/>
    <n v="35.369999999999997"/>
    <s v="Profit"/>
    <s v="High Discount"/>
    <x v="3"/>
    <x v="0"/>
    <n v="3.9"/>
    <s v="Medium Rating"/>
  </r>
  <r>
    <x v="325"/>
    <x v="125"/>
    <x v="0"/>
    <s v="Delhi"/>
    <s v="Delhi"/>
    <s v="North"/>
    <s v="Amit Verma"/>
    <x v="3"/>
    <s v="Biscuits Pack"/>
    <n v="2"/>
    <n v="96.8"/>
    <n v="15"/>
    <n v="29.04"/>
    <n v="164.56"/>
    <n v="144"/>
    <n v="20.56"/>
    <s v="Profit"/>
    <s v="High Discount"/>
    <x v="0"/>
    <x v="0"/>
    <n v="4"/>
    <s v="Medium Rating"/>
  </r>
  <r>
    <x v="326"/>
    <x v="125"/>
    <x v="0"/>
    <s v="Delhi"/>
    <s v="Delhi"/>
    <s v="North"/>
    <s v="Amit Verma"/>
    <x v="0"/>
    <s v="Smartwatch"/>
    <n v="2"/>
    <n v="4679.3999999999996"/>
    <n v="20"/>
    <n v="1871.76"/>
    <n v="7487.04"/>
    <n v="5800"/>
    <n v="1687.04"/>
    <s v="Profit"/>
    <s v="High Discount"/>
    <x v="2"/>
    <x v="0"/>
    <n v="4.5"/>
    <s v="High Rating"/>
  </r>
  <r>
    <x v="327"/>
    <x v="126"/>
    <x v="6"/>
    <s v="Lucknow"/>
    <s v="Uttar Pradesh"/>
    <s v="North"/>
    <s v="Sanjay Singh"/>
    <x v="3"/>
    <s v="Biscuits Pack"/>
    <n v="6"/>
    <n v="103.65"/>
    <n v="0"/>
    <n v="0"/>
    <n v="621.9"/>
    <n v="432"/>
    <n v="189.9"/>
    <s v="Profit"/>
    <s v="No Discount"/>
    <x v="0"/>
    <x v="0"/>
    <n v="3.4"/>
    <s v="Medium Rating"/>
  </r>
  <r>
    <x v="328"/>
    <x v="126"/>
    <x v="5"/>
    <s v="Mumbai"/>
    <s v="Maharashtra"/>
    <s v="West"/>
    <s v="Neha Kapoor"/>
    <x v="1"/>
    <s v="Moisturizer"/>
    <n v="2"/>
    <n v="563.17999999999995"/>
    <n v="5"/>
    <n v="56.317999999999991"/>
    <n v="1070.04"/>
    <n v="680"/>
    <n v="390.04"/>
    <s v="Profit"/>
    <s v="Low Discount"/>
    <x v="0"/>
    <x v="0"/>
    <n v="3.2"/>
    <s v="Medium Rating"/>
  </r>
  <r>
    <x v="329"/>
    <x v="127"/>
    <x v="3"/>
    <s v="Jaipur"/>
    <s v="Rajasthan"/>
    <s v="West"/>
    <s v="Rajesh Sharma"/>
    <x v="4"/>
    <s v="Water Bottle"/>
    <n v="1"/>
    <n v="669.72"/>
    <n v="10"/>
    <n v="66.972000000000008"/>
    <n v="602.75"/>
    <n v="400"/>
    <n v="202.75"/>
    <s v="Profit"/>
    <s v="Medium Discount"/>
    <x v="2"/>
    <x v="0"/>
    <n v="3.5"/>
    <s v="Medium Rating"/>
  </r>
  <r>
    <x v="330"/>
    <x v="127"/>
    <x v="7"/>
    <s v="Kolkata"/>
    <s v="West Bengal"/>
    <s v="East"/>
    <s v="Priya Sen"/>
    <x v="3"/>
    <s v="Rice 5kg"/>
    <n v="3"/>
    <n v="642.19000000000005"/>
    <n v="5"/>
    <n v="96.328500000000005"/>
    <n v="1830.24"/>
    <n v="1530"/>
    <n v="300.24"/>
    <s v="Profit"/>
    <s v="Low Discount"/>
    <x v="1"/>
    <x v="0"/>
    <n v="3.7"/>
    <s v="Medium Rating"/>
  </r>
  <r>
    <x v="331"/>
    <x v="128"/>
    <x v="0"/>
    <s v="Delhi"/>
    <s v="Delhi"/>
    <s v="North"/>
    <s v="Amit Verma"/>
    <x v="2"/>
    <s v="Jacket"/>
    <n v="2"/>
    <n v="3197.21"/>
    <n v="5"/>
    <n v="319.721"/>
    <n v="0"/>
    <n v="3800"/>
    <n v="0"/>
    <s v="Break Even"/>
    <s v="Low Discount"/>
    <x v="1"/>
    <x v="1"/>
    <m/>
    <s v="Not Rated"/>
  </r>
  <r>
    <x v="332"/>
    <x v="128"/>
    <x v="6"/>
    <s v="Lucknow"/>
    <s v="Uttar Pradesh"/>
    <s v="North"/>
    <s v="Sanjay Singh"/>
    <x v="1"/>
    <s v="Shampoo"/>
    <n v="1"/>
    <n v="462.25"/>
    <n v="10"/>
    <n v="46.225000000000001"/>
    <n v="416.03"/>
    <n v="290"/>
    <n v="126.03"/>
    <s v="Profit"/>
    <s v="Medium Discount"/>
    <x v="1"/>
    <x v="0"/>
    <n v="3.2"/>
    <s v="Medium Rating"/>
  </r>
  <r>
    <x v="333"/>
    <x v="128"/>
    <x v="5"/>
    <s v="Mumbai"/>
    <s v="Maharashtra"/>
    <s v="West"/>
    <s v="Neha Kapoor"/>
    <x v="0"/>
    <s v="Headphones"/>
    <n v="3"/>
    <n v="1726.51"/>
    <n v="10"/>
    <n v="517.95299999999997"/>
    <n v="4661.58"/>
    <n v="3300"/>
    <n v="1361.58"/>
    <s v="Profit"/>
    <s v="Medium Discount"/>
    <x v="4"/>
    <x v="0"/>
    <n v="3.4"/>
    <s v="Medium Rating"/>
  </r>
  <r>
    <x v="334"/>
    <x v="129"/>
    <x v="0"/>
    <s v="Delhi"/>
    <s v="Delhi"/>
    <s v="North"/>
    <s v="Amit Verma"/>
    <x v="3"/>
    <s v="Cooking Oil 1L"/>
    <n v="4"/>
    <n v="156.38"/>
    <n v="15"/>
    <n v="93.827999999999989"/>
    <n v="531.69000000000005"/>
    <n v="480"/>
    <n v="51.69"/>
    <s v="Profit"/>
    <s v="High Discount"/>
    <x v="4"/>
    <x v="0"/>
    <n v="3.7"/>
    <s v="Medium Rating"/>
  </r>
  <r>
    <x v="335"/>
    <x v="130"/>
    <x v="1"/>
    <s v="Hyderabad"/>
    <s v="Telangana"/>
    <s v="South"/>
    <s v="Anjali Reddy"/>
    <x v="0"/>
    <s v="Headphones"/>
    <n v="2"/>
    <n v="1843.03"/>
    <n v="0"/>
    <n v="0"/>
    <n v="3686.06"/>
    <n v="2200"/>
    <n v="1486.06"/>
    <s v="Profit"/>
    <s v="No Discount"/>
    <x v="2"/>
    <x v="0"/>
    <n v="3.7"/>
    <s v="Medium Rating"/>
  </r>
  <r>
    <x v="336"/>
    <x v="131"/>
    <x v="7"/>
    <s v="Kolkata"/>
    <s v="West Bengal"/>
    <s v="East"/>
    <s v="Priya Sen"/>
    <x v="1"/>
    <s v="Face Wash"/>
    <n v="4"/>
    <n v="342.65"/>
    <n v="10"/>
    <n v="137.06"/>
    <n v="1233.54"/>
    <n v="880"/>
    <n v="353.54"/>
    <s v="Profit"/>
    <s v="Medium Discount"/>
    <x v="2"/>
    <x v="0"/>
    <n v="4.9000000000000004"/>
    <s v="High Rating"/>
  </r>
  <r>
    <x v="337"/>
    <x v="131"/>
    <x v="1"/>
    <s v="Hyderabad"/>
    <s v="Telangana"/>
    <s v="South"/>
    <s v="Anjali Reddy"/>
    <x v="0"/>
    <s v="Headphones"/>
    <n v="4"/>
    <n v="1816.83"/>
    <n v="20"/>
    <n v="1453.4639999999999"/>
    <n v="5813.86"/>
    <n v="4400"/>
    <n v="1413.86"/>
    <s v="Profit"/>
    <s v="High Discount"/>
    <x v="4"/>
    <x v="0"/>
    <n v="3.1"/>
    <s v="Medium Rating"/>
  </r>
  <r>
    <x v="338"/>
    <x v="132"/>
    <x v="2"/>
    <s v="Bengaluru"/>
    <s v="Karnataka"/>
    <s v="South"/>
    <s v="Vikram Rao"/>
    <x v="2"/>
    <s v="T-Shirt"/>
    <n v="5"/>
    <n v="904.62"/>
    <n v="5"/>
    <n v="226.155"/>
    <n v="4296.9399999999996"/>
    <n v="2500"/>
    <n v="1796.94"/>
    <s v="Profit"/>
    <s v="Low Discount"/>
    <x v="2"/>
    <x v="0"/>
    <n v="3.3"/>
    <s v="Medium Rating"/>
  </r>
  <r>
    <x v="339"/>
    <x v="132"/>
    <x v="4"/>
    <s v="Chennai"/>
    <s v="Tamil Nadu"/>
    <s v="South"/>
    <s v="Karthik Iyer"/>
    <x v="4"/>
    <s v="Coffee Maker"/>
    <n v="2"/>
    <n v="4994.45"/>
    <n v="10"/>
    <n v="998.89"/>
    <n v="8990.01"/>
    <n v="7200"/>
    <n v="1790.01"/>
    <s v="Profit"/>
    <s v="Medium Discount"/>
    <x v="4"/>
    <x v="0"/>
    <n v="4.2"/>
    <s v="Medium Rating"/>
  </r>
  <r>
    <x v="340"/>
    <x v="132"/>
    <x v="3"/>
    <s v="Jaipur"/>
    <s v="Rajasthan"/>
    <s v="West"/>
    <s v="Rajesh Sharma"/>
    <x v="2"/>
    <s v="Jacket"/>
    <n v="3"/>
    <n v="3186.02"/>
    <n v="0"/>
    <n v="0"/>
    <n v="9558.06"/>
    <n v="5700"/>
    <n v="3858.06"/>
    <s v="Profit"/>
    <s v="No Discount"/>
    <x v="0"/>
    <x v="0"/>
    <n v="3.1"/>
    <s v="Medium Rating"/>
  </r>
  <r>
    <x v="341"/>
    <x v="133"/>
    <x v="3"/>
    <s v="Jaipur"/>
    <s v="Rajasthan"/>
    <s v="West"/>
    <s v="Rajesh Sharma"/>
    <x v="1"/>
    <s v="Shampoo"/>
    <n v="3"/>
    <n v="457.58"/>
    <n v="10"/>
    <n v="137.274"/>
    <n v="1235.47"/>
    <n v="870"/>
    <n v="365.47"/>
    <s v="Profit"/>
    <s v="Medium Discount"/>
    <x v="2"/>
    <x v="0"/>
    <n v="3.6"/>
    <s v="Medium Rating"/>
  </r>
  <r>
    <x v="342"/>
    <x v="133"/>
    <x v="6"/>
    <s v="Lucknow"/>
    <s v="Uttar Pradesh"/>
    <s v="North"/>
    <s v="Sanjay Singh"/>
    <x v="4"/>
    <s v="Water Bottle"/>
    <n v="2"/>
    <n v="695.48"/>
    <n v="5"/>
    <n v="69.548000000000002"/>
    <n v="1321.41"/>
    <n v="800"/>
    <n v="521.41"/>
    <s v="Profit"/>
    <s v="Low Discount"/>
    <x v="1"/>
    <x v="0"/>
    <n v="4.0999999999999996"/>
    <s v="Medium Rating"/>
  </r>
  <r>
    <x v="343"/>
    <x v="133"/>
    <x v="7"/>
    <s v="Kolkata"/>
    <s v="West Bengal"/>
    <s v="East"/>
    <s v="Priya Sen"/>
    <x v="3"/>
    <s v="Cooking Oil 1L"/>
    <n v="2"/>
    <n v="157.34"/>
    <n v="5"/>
    <n v="15.734000000000002"/>
    <n v="298.95"/>
    <n v="240"/>
    <n v="58.95"/>
    <s v="Profit"/>
    <s v="Low Discount"/>
    <x v="3"/>
    <x v="0"/>
    <n v="3.8"/>
    <s v="Medium Rating"/>
  </r>
  <r>
    <x v="344"/>
    <x v="133"/>
    <x v="5"/>
    <s v="Mumbai"/>
    <s v="Maharashtra"/>
    <s v="West"/>
    <s v="Neha Kapoor"/>
    <x v="0"/>
    <s v="Headphones"/>
    <n v="1"/>
    <n v="1830.34"/>
    <n v="10"/>
    <n v="183.03399999999999"/>
    <n v="1647.31"/>
    <n v="1100"/>
    <n v="547.30999999999995"/>
    <s v="Profit"/>
    <s v="Medium Discount"/>
    <x v="1"/>
    <x v="0"/>
    <n v="4.7"/>
    <s v="High Rating"/>
  </r>
  <r>
    <x v="345"/>
    <x v="134"/>
    <x v="4"/>
    <s v="Chennai"/>
    <s v="Tamil Nadu"/>
    <s v="South"/>
    <s v="Karthik Iyer"/>
    <x v="4"/>
    <s v="Dinner Set"/>
    <n v="5"/>
    <n v="2336"/>
    <n v="0"/>
    <n v="0"/>
    <n v="11680"/>
    <n v="7750"/>
    <n v="3930"/>
    <s v="Profit"/>
    <s v="No Discount"/>
    <x v="3"/>
    <x v="0"/>
    <n v="3.1"/>
    <s v="Medium Rating"/>
  </r>
  <r>
    <x v="346"/>
    <x v="134"/>
    <x v="2"/>
    <s v="Bengaluru"/>
    <s v="Karnataka"/>
    <s v="South"/>
    <s v="Vikram Rao"/>
    <x v="0"/>
    <s v="Smartwatch"/>
    <n v="1"/>
    <n v="4551.6499999999996"/>
    <n v="0"/>
    <n v="0"/>
    <n v="4551.6499999999996"/>
    <n v="2900"/>
    <n v="1651.65"/>
    <s v="Profit"/>
    <s v="No Discount"/>
    <x v="1"/>
    <x v="0"/>
    <n v="3.9"/>
    <s v="Medium Rating"/>
  </r>
  <r>
    <x v="347"/>
    <x v="135"/>
    <x v="1"/>
    <s v="Hyderabad"/>
    <s v="Telangana"/>
    <s v="South"/>
    <s v="Anjali Reddy"/>
    <x v="4"/>
    <s v="Water Bottle"/>
    <n v="6"/>
    <n v="730.06"/>
    <n v="10"/>
    <n v="438.036"/>
    <n v="3942.32"/>
    <n v="2400"/>
    <n v="1542.32"/>
    <s v="Profit"/>
    <s v="Medium Discount"/>
    <x v="4"/>
    <x v="0"/>
    <n v="4.3"/>
    <s v="Medium Rating"/>
  </r>
  <r>
    <x v="348"/>
    <x v="135"/>
    <x v="0"/>
    <s v="Delhi"/>
    <s v="Delhi"/>
    <s v="North"/>
    <s v="Amit Verma"/>
    <x v="2"/>
    <s v="Jeans"/>
    <n v="5"/>
    <n v="1716.84"/>
    <n v="10"/>
    <n v="858.41999999999985"/>
    <n v="7725.78"/>
    <n v="5250"/>
    <n v="2475.7800000000002"/>
    <s v="Profit"/>
    <s v="Medium Discount"/>
    <x v="4"/>
    <x v="0"/>
    <n v="4"/>
    <s v="Medium Rating"/>
  </r>
  <r>
    <x v="349"/>
    <x v="135"/>
    <x v="4"/>
    <s v="Chennai"/>
    <s v="Tamil Nadu"/>
    <s v="South"/>
    <s v="Karthik Iyer"/>
    <x v="2"/>
    <s v="T-Shirt"/>
    <n v="1"/>
    <n v="856.89"/>
    <n v="0"/>
    <n v="0"/>
    <n v="856.89"/>
    <n v="500"/>
    <n v="356.89"/>
    <s v="Profit"/>
    <s v="No Discount"/>
    <x v="1"/>
    <x v="0"/>
    <n v="4.2"/>
    <s v="Medium Rating"/>
  </r>
  <r>
    <x v="350"/>
    <x v="135"/>
    <x v="5"/>
    <s v="Mumbai"/>
    <s v="Maharashtra"/>
    <s v="West"/>
    <s v="Neha Kapoor"/>
    <x v="0"/>
    <s v="Headphones"/>
    <n v="1"/>
    <n v="1794.54"/>
    <n v="10"/>
    <n v="179.45400000000001"/>
    <n v="1615.09"/>
    <n v="1100"/>
    <n v="515.09"/>
    <s v="Profit"/>
    <s v="Medium Discount"/>
    <x v="4"/>
    <x v="0"/>
    <n v="3.6"/>
    <s v="Medium Rating"/>
  </r>
  <r>
    <x v="351"/>
    <x v="135"/>
    <x v="2"/>
    <s v="Bengaluru"/>
    <s v="Karnataka"/>
    <s v="South"/>
    <s v="Vikram Rao"/>
    <x v="1"/>
    <s v="Moisturizer"/>
    <n v="5"/>
    <n v="565.59"/>
    <n v="10"/>
    <n v="282.79500000000002"/>
    <n v="2545.16"/>
    <n v="1700"/>
    <n v="845.16"/>
    <s v="Profit"/>
    <s v="Medium Discount"/>
    <x v="4"/>
    <x v="0"/>
    <n v="3.9"/>
    <s v="Medium Rating"/>
  </r>
  <r>
    <x v="352"/>
    <x v="136"/>
    <x v="3"/>
    <s v="Jaipur"/>
    <s v="Rajasthan"/>
    <s v="West"/>
    <s v="Rajesh Sharma"/>
    <x v="0"/>
    <s v="Headphones"/>
    <n v="6"/>
    <n v="1731.9"/>
    <n v="10"/>
    <n v="1039.1400000000001"/>
    <n v="9352.26"/>
    <n v="6600"/>
    <n v="2752.26"/>
    <s v="Profit"/>
    <s v="Medium Discount"/>
    <x v="0"/>
    <x v="0"/>
    <n v="4.7"/>
    <s v="High Rating"/>
  </r>
  <r>
    <x v="353"/>
    <x v="137"/>
    <x v="2"/>
    <s v="Bengaluru"/>
    <s v="Karnataka"/>
    <s v="South"/>
    <s v="Vikram Rao"/>
    <x v="2"/>
    <s v="T-Shirt"/>
    <n v="5"/>
    <n v="866.86"/>
    <n v="0"/>
    <n v="0"/>
    <n v="4334.3"/>
    <n v="2500"/>
    <n v="1834.3"/>
    <s v="Profit"/>
    <s v="No Discount"/>
    <x v="1"/>
    <x v="0"/>
    <n v="4.5"/>
    <s v="High Rating"/>
  </r>
  <r>
    <x v="354"/>
    <x v="137"/>
    <x v="0"/>
    <s v="Delhi"/>
    <s v="Delhi"/>
    <s v="North"/>
    <s v="Amit Verma"/>
    <x v="1"/>
    <s v="Moisturizer"/>
    <n v="3"/>
    <n v="549.37"/>
    <n v="5"/>
    <n v="82.405500000000018"/>
    <n v="1565.7"/>
    <n v="1020"/>
    <n v="545.70000000000005"/>
    <s v="Profit"/>
    <s v="Low Discount"/>
    <x v="2"/>
    <x v="0"/>
    <n v="3.1"/>
    <s v="Medium Rating"/>
  </r>
  <r>
    <x v="355"/>
    <x v="137"/>
    <x v="1"/>
    <s v="Hyderabad"/>
    <s v="Telangana"/>
    <s v="South"/>
    <s v="Anjali Reddy"/>
    <x v="0"/>
    <s v="Headphones"/>
    <n v="1"/>
    <n v="1869.11"/>
    <n v="5"/>
    <n v="93.455499999999986"/>
    <n v="1775.65"/>
    <n v="1100"/>
    <n v="675.65"/>
    <s v="Profit"/>
    <s v="Low Discount"/>
    <x v="2"/>
    <x v="0"/>
    <n v="3.2"/>
    <s v="Medium Rating"/>
  </r>
  <r>
    <x v="356"/>
    <x v="137"/>
    <x v="6"/>
    <s v="Lucknow"/>
    <s v="Uttar Pradesh"/>
    <s v="North"/>
    <s v="Sanjay Singh"/>
    <x v="0"/>
    <s v="Smartwatch"/>
    <n v="4"/>
    <n v="4577.9799999999996"/>
    <n v="5"/>
    <n v="915.59599999999989"/>
    <n v="17396.32"/>
    <n v="11600"/>
    <n v="5796.32"/>
    <s v="Profit"/>
    <s v="Low Discount"/>
    <x v="0"/>
    <x v="0"/>
    <n v="4.0999999999999996"/>
    <s v="Medium Rating"/>
  </r>
  <r>
    <x v="357"/>
    <x v="138"/>
    <x v="0"/>
    <s v="Delhi"/>
    <s v="Delhi"/>
    <s v="North"/>
    <s v="Amit Verma"/>
    <x v="3"/>
    <s v="Tea 500g"/>
    <n v="1"/>
    <n v="281.61"/>
    <n v="10"/>
    <n v="28.161000000000005"/>
    <n v="253.45"/>
    <n v="210"/>
    <n v="43.45"/>
    <s v="Profit"/>
    <s v="Medium Discount"/>
    <x v="2"/>
    <x v="0"/>
    <n v="3.3"/>
    <s v="Medium Rating"/>
  </r>
  <r>
    <x v="358"/>
    <x v="138"/>
    <x v="1"/>
    <s v="Hyderabad"/>
    <s v="Telangana"/>
    <s v="South"/>
    <s v="Anjali Reddy"/>
    <x v="1"/>
    <s v="Shampoo"/>
    <n v="4"/>
    <n v="467.87"/>
    <n v="10"/>
    <n v="187.148"/>
    <n v="1684.33"/>
    <n v="1160"/>
    <n v="524.33000000000004"/>
    <s v="Profit"/>
    <s v="Medium Discount"/>
    <x v="3"/>
    <x v="0"/>
    <n v="4.3"/>
    <s v="Medium Rating"/>
  </r>
  <r>
    <x v="359"/>
    <x v="139"/>
    <x v="5"/>
    <s v="Mumbai"/>
    <s v="Maharashtra"/>
    <s v="West"/>
    <s v="Neha Kapoor"/>
    <x v="0"/>
    <s v="Smartwatch"/>
    <n v="6"/>
    <n v="4659.9399999999996"/>
    <n v="15"/>
    <n v="4193.9459999999999"/>
    <n v="23765.69"/>
    <n v="17400"/>
    <n v="6365.69"/>
    <s v="Profit"/>
    <s v="High Discount"/>
    <x v="3"/>
    <x v="0"/>
    <n v="3.3"/>
    <s v="Medium Rating"/>
  </r>
  <r>
    <x v="360"/>
    <x v="139"/>
    <x v="6"/>
    <s v="Lucknow"/>
    <s v="Uttar Pradesh"/>
    <s v="North"/>
    <s v="Sanjay Singh"/>
    <x v="0"/>
    <s v="Smartphone"/>
    <n v="2"/>
    <n v="21088.69"/>
    <n v="5"/>
    <n v="2108.8690000000001"/>
    <n v="40068.51"/>
    <n v="32000"/>
    <n v="8068.51"/>
    <s v="Profit"/>
    <s v="Low Discount"/>
    <x v="4"/>
    <x v="0"/>
    <n v="3.1"/>
    <s v="Medium Rating"/>
  </r>
  <r>
    <x v="361"/>
    <x v="140"/>
    <x v="1"/>
    <s v="Hyderabad"/>
    <s v="Telangana"/>
    <s v="South"/>
    <s v="Anjali Reddy"/>
    <x v="3"/>
    <s v="Biscuits Pack"/>
    <n v="2"/>
    <n v="96.88"/>
    <n v="5"/>
    <n v="9.6879999999999988"/>
    <n v="-184.07"/>
    <n v="144"/>
    <n v="-328.07"/>
    <s v="Loss"/>
    <s v="Low Discount"/>
    <x v="2"/>
    <x v="2"/>
    <n v="3.9"/>
    <s v="Medium Rating"/>
  </r>
  <r>
    <x v="362"/>
    <x v="140"/>
    <x v="3"/>
    <s v="Jaipur"/>
    <s v="Rajasthan"/>
    <s v="West"/>
    <s v="Rajesh Sharma"/>
    <x v="1"/>
    <s v="Face Wash"/>
    <n v="6"/>
    <n v="344.4"/>
    <n v="15"/>
    <n v="309.95999999999992"/>
    <n v="1756.44"/>
    <n v="1320"/>
    <n v="436.44"/>
    <s v="Profit"/>
    <s v="High Discount"/>
    <x v="1"/>
    <x v="0"/>
    <n v="4.2"/>
    <s v="Medium Rating"/>
  </r>
  <r>
    <x v="363"/>
    <x v="140"/>
    <x v="6"/>
    <s v="Lucknow"/>
    <s v="Uttar Pradesh"/>
    <s v="North"/>
    <s v="Sanjay Singh"/>
    <x v="2"/>
    <s v="Sneakers"/>
    <n v="3"/>
    <n v="4362.37"/>
    <n v="10"/>
    <n v="1308.711"/>
    <n v="11778.4"/>
    <n v="7800"/>
    <n v="3978.4"/>
    <s v="Profit"/>
    <s v="Medium Discount"/>
    <x v="3"/>
    <x v="0"/>
    <n v="3.6"/>
    <s v="Medium Rating"/>
  </r>
  <r>
    <x v="364"/>
    <x v="141"/>
    <x v="5"/>
    <s v="Mumbai"/>
    <s v="Maharashtra"/>
    <s v="West"/>
    <s v="Neha Kapoor"/>
    <x v="0"/>
    <s v="Laptop"/>
    <n v="3"/>
    <n v="56916.23"/>
    <n v="10"/>
    <n v="17074.868999999999"/>
    <n v="153673.82"/>
    <n v="126000"/>
    <n v="27673.82"/>
    <s v="Profit"/>
    <s v="Medium Discount"/>
    <x v="2"/>
    <x v="0"/>
    <n v="4.2"/>
    <s v="Medium Rating"/>
  </r>
  <r>
    <x v="365"/>
    <x v="141"/>
    <x v="0"/>
    <s v="Delhi"/>
    <s v="Delhi"/>
    <s v="North"/>
    <s v="Amit Verma"/>
    <x v="2"/>
    <s v="Jacket"/>
    <n v="1"/>
    <n v="3102.72"/>
    <n v="0"/>
    <n v="0"/>
    <n v="3102.72"/>
    <n v="1900"/>
    <n v="1202.72"/>
    <s v="Profit"/>
    <s v="No Discount"/>
    <x v="3"/>
    <x v="0"/>
    <n v="4.3"/>
    <s v="Medium Rating"/>
  </r>
  <r>
    <x v="366"/>
    <x v="142"/>
    <x v="5"/>
    <s v="Mumbai"/>
    <s v="Maharashtra"/>
    <s v="West"/>
    <s v="Neha Kapoor"/>
    <x v="4"/>
    <s v="Coffee Maker"/>
    <n v="3"/>
    <n v="5111.07"/>
    <n v="0"/>
    <n v="0"/>
    <n v="15333.21"/>
    <n v="10800"/>
    <n v="4533.21"/>
    <s v="Profit"/>
    <s v="No Discount"/>
    <x v="0"/>
    <x v="0"/>
    <n v="4.7"/>
    <s v="High Rating"/>
  </r>
  <r>
    <x v="367"/>
    <x v="142"/>
    <x v="0"/>
    <s v="Delhi"/>
    <s v="Delhi"/>
    <s v="North"/>
    <s v="Amit Verma"/>
    <x v="3"/>
    <s v="Cooking Oil 1L"/>
    <n v="6"/>
    <n v="145.63999999999999"/>
    <n v="0"/>
    <n v="0"/>
    <n v="873.84"/>
    <n v="720"/>
    <n v="153.84"/>
    <s v="Profit"/>
    <s v="No Discount"/>
    <x v="1"/>
    <x v="0"/>
    <n v="4.9000000000000004"/>
    <s v="High Rating"/>
  </r>
  <r>
    <x v="368"/>
    <x v="142"/>
    <x v="5"/>
    <s v="Mumbai"/>
    <s v="Maharashtra"/>
    <s v="West"/>
    <s v="Neha Kapoor"/>
    <x v="0"/>
    <s v="Laptop"/>
    <n v="2"/>
    <n v="53175.81"/>
    <n v="10"/>
    <n v="10635.162"/>
    <n v="95716.46"/>
    <n v="84000"/>
    <n v="11716.46"/>
    <s v="Profit"/>
    <s v="Medium Discount"/>
    <x v="2"/>
    <x v="0"/>
    <n v="4.9000000000000004"/>
    <s v="High Rating"/>
  </r>
  <r>
    <x v="369"/>
    <x v="143"/>
    <x v="4"/>
    <s v="Chennai"/>
    <s v="Tamil Nadu"/>
    <s v="South"/>
    <s v="Karthik Iyer"/>
    <x v="4"/>
    <s v="Mixer Grinder"/>
    <n v="6"/>
    <n v="3771.24"/>
    <n v="20"/>
    <n v="4525.4880000000003"/>
    <n v="18101.95"/>
    <n v="16200"/>
    <n v="1901.95"/>
    <s v="Profit"/>
    <s v="High Discount"/>
    <x v="4"/>
    <x v="0"/>
    <n v="4.4000000000000004"/>
    <s v="Medium Rating"/>
  </r>
  <r>
    <x v="370"/>
    <x v="143"/>
    <x v="2"/>
    <s v="Bengaluru"/>
    <s v="Karnataka"/>
    <s v="South"/>
    <s v="Vikram Rao"/>
    <x v="1"/>
    <s v="Perfume"/>
    <n v="4"/>
    <n v="1740.77"/>
    <n v="5"/>
    <n v="348.154"/>
    <n v="6614.93"/>
    <n v="4200"/>
    <n v="2414.9299999999998"/>
    <s v="Profit"/>
    <s v="Low Discount"/>
    <x v="0"/>
    <x v="0"/>
    <n v="4.3"/>
    <s v="Medium Rating"/>
  </r>
  <r>
    <x v="371"/>
    <x v="144"/>
    <x v="4"/>
    <s v="Chennai"/>
    <s v="Tamil Nadu"/>
    <s v="South"/>
    <s v="Karthik Iyer"/>
    <x v="2"/>
    <s v="T-Shirt"/>
    <n v="3"/>
    <n v="941.45"/>
    <n v="5"/>
    <n v="141.21750000000003"/>
    <n v="2683.13"/>
    <n v="1500"/>
    <n v="1183.1300000000001"/>
    <s v="Profit"/>
    <s v="Low Discount"/>
    <x v="0"/>
    <x v="0"/>
    <n v="4.5999999999999996"/>
    <s v="High Rating"/>
  </r>
  <r>
    <x v="372"/>
    <x v="145"/>
    <x v="4"/>
    <s v="Chennai"/>
    <s v="Tamil Nadu"/>
    <s v="South"/>
    <s v="Karthik Iyer"/>
    <x v="1"/>
    <s v="Face Wash"/>
    <n v="3"/>
    <n v="335.41"/>
    <n v="0"/>
    <n v="0"/>
    <n v="1006.23"/>
    <n v="660"/>
    <n v="346.23"/>
    <s v="Profit"/>
    <s v="No Discount"/>
    <x v="0"/>
    <x v="0"/>
    <n v="3.5"/>
    <s v="Medium Rating"/>
  </r>
  <r>
    <x v="373"/>
    <x v="145"/>
    <x v="1"/>
    <s v="Hyderabad"/>
    <s v="Telangana"/>
    <s v="South"/>
    <s v="Anjali Reddy"/>
    <x v="1"/>
    <s v="Perfume"/>
    <n v="1"/>
    <n v="1781.47"/>
    <n v="5"/>
    <n v="89.07350000000001"/>
    <n v="0"/>
    <n v="1050"/>
    <n v="0"/>
    <s v="Break Even"/>
    <s v="Low Discount"/>
    <x v="3"/>
    <x v="1"/>
    <m/>
    <s v="Not Rated"/>
  </r>
  <r>
    <x v="374"/>
    <x v="146"/>
    <x v="6"/>
    <s v="Lucknow"/>
    <s v="Uttar Pradesh"/>
    <s v="North"/>
    <s v="Sanjay Singh"/>
    <x v="3"/>
    <s v="Tea 500g"/>
    <n v="1"/>
    <n v="285.02"/>
    <n v="20"/>
    <n v="57.003999999999998"/>
    <n v="-228.02"/>
    <n v="210"/>
    <n v="-438.02"/>
    <s v="Loss"/>
    <s v="High Discount"/>
    <x v="2"/>
    <x v="2"/>
    <n v="4.7"/>
    <s v="High Rating"/>
  </r>
  <r>
    <x v="375"/>
    <x v="146"/>
    <x v="6"/>
    <s v="Lucknow"/>
    <s v="Uttar Pradesh"/>
    <s v="North"/>
    <s v="Sanjay Singh"/>
    <x v="1"/>
    <s v="Perfume"/>
    <n v="1"/>
    <n v="1806.77"/>
    <n v="10"/>
    <n v="180.67700000000002"/>
    <n v="1626.09"/>
    <n v="1050"/>
    <n v="576.09"/>
    <s v="Profit"/>
    <s v="Medium Discount"/>
    <x v="4"/>
    <x v="0"/>
    <n v="4.7"/>
    <s v="High Rating"/>
  </r>
  <r>
    <x v="376"/>
    <x v="147"/>
    <x v="4"/>
    <s v="Chennai"/>
    <s v="Tamil Nadu"/>
    <s v="South"/>
    <s v="Karthik Iyer"/>
    <x v="2"/>
    <s v="Jacket"/>
    <n v="4"/>
    <n v="3120.48"/>
    <n v="10"/>
    <n v="1248.192"/>
    <n v="11233.73"/>
    <n v="7600"/>
    <n v="3633.73"/>
    <s v="Profit"/>
    <s v="Medium Discount"/>
    <x v="2"/>
    <x v="0"/>
    <n v="5"/>
    <s v="High Rating"/>
  </r>
  <r>
    <x v="377"/>
    <x v="148"/>
    <x v="4"/>
    <s v="Chennai"/>
    <s v="Tamil Nadu"/>
    <s v="South"/>
    <s v="Karthik Iyer"/>
    <x v="1"/>
    <s v="Face Wash"/>
    <n v="6"/>
    <n v="366.6"/>
    <n v="10"/>
    <n v="219.96000000000004"/>
    <n v="1979.64"/>
    <n v="1320"/>
    <n v="659.64"/>
    <s v="Profit"/>
    <s v="Medium Discount"/>
    <x v="4"/>
    <x v="0"/>
    <n v="4.9000000000000004"/>
    <s v="High Rating"/>
  </r>
  <r>
    <x v="378"/>
    <x v="148"/>
    <x v="5"/>
    <s v="Mumbai"/>
    <s v="Maharashtra"/>
    <s v="West"/>
    <s v="Neha Kapoor"/>
    <x v="2"/>
    <s v="Jeans"/>
    <n v="3"/>
    <n v="1881.11"/>
    <n v="0"/>
    <n v="0"/>
    <n v="0"/>
    <n v="3150"/>
    <n v="0"/>
    <s v="Break Even"/>
    <s v="No Discount"/>
    <x v="3"/>
    <x v="1"/>
    <m/>
    <s v="Not Rated"/>
  </r>
  <r>
    <x v="379"/>
    <x v="149"/>
    <x v="5"/>
    <s v="Mumbai"/>
    <s v="Maharashtra"/>
    <s v="West"/>
    <s v="Neha Kapoor"/>
    <x v="0"/>
    <s v="Smartwatch"/>
    <n v="2"/>
    <n v="4366.6099999999997"/>
    <n v="15"/>
    <n v="1309.9829999999999"/>
    <n v="7423.24"/>
    <n v="5800"/>
    <n v="1623.24"/>
    <s v="Profit"/>
    <s v="High Discount"/>
    <x v="0"/>
    <x v="0"/>
    <n v="4.9000000000000004"/>
    <s v="High Rating"/>
  </r>
  <r>
    <x v="380"/>
    <x v="149"/>
    <x v="2"/>
    <s v="Bengaluru"/>
    <s v="Karnataka"/>
    <s v="South"/>
    <s v="Vikram Rao"/>
    <x v="4"/>
    <s v="Mixer Grinder"/>
    <n v="2"/>
    <n v="3805.35"/>
    <n v="10"/>
    <n v="761.07"/>
    <n v="6849.63"/>
    <n v="5400"/>
    <n v="1449.63"/>
    <s v="Profit"/>
    <s v="Medium Discount"/>
    <x v="2"/>
    <x v="0"/>
    <n v="4"/>
    <s v="Medium Rating"/>
  </r>
  <r>
    <x v="381"/>
    <x v="150"/>
    <x v="2"/>
    <s v="Bengaluru"/>
    <s v="Karnataka"/>
    <s v="South"/>
    <s v="Vikram Rao"/>
    <x v="3"/>
    <s v="Biscuits Pack"/>
    <n v="1"/>
    <n v="99.1"/>
    <n v="0"/>
    <n v="0"/>
    <n v="99.1"/>
    <n v="72"/>
    <n v="27.1"/>
    <s v="Profit"/>
    <s v="No Discount"/>
    <x v="4"/>
    <x v="0"/>
    <n v="4.2"/>
    <s v="Medium Rating"/>
  </r>
  <r>
    <x v="382"/>
    <x v="150"/>
    <x v="0"/>
    <s v="Delhi"/>
    <s v="Delhi"/>
    <s v="North"/>
    <s v="Amit Verma"/>
    <x v="0"/>
    <s v="Laptop"/>
    <n v="3"/>
    <n v="56834.77"/>
    <n v="20"/>
    <n v="34100.862000000001"/>
    <n v="136403.45000000001"/>
    <n v="126000"/>
    <n v="10403.450000000001"/>
    <s v="Profit"/>
    <s v="High Discount"/>
    <x v="0"/>
    <x v="0"/>
    <n v="4.5999999999999996"/>
    <s v="High Rating"/>
  </r>
  <r>
    <x v="383"/>
    <x v="150"/>
    <x v="4"/>
    <s v="Chennai"/>
    <s v="Tamil Nadu"/>
    <s v="South"/>
    <s v="Karthik Iyer"/>
    <x v="2"/>
    <s v="T-Shirt"/>
    <n v="2"/>
    <n v="869.81"/>
    <n v="10"/>
    <n v="173.96199999999996"/>
    <n v="-1565.66"/>
    <n v="1000"/>
    <n v="-2565.66"/>
    <s v="Loss"/>
    <s v="Medium Discount"/>
    <x v="3"/>
    <x v="2"/>
    <n v="4.3"/>
    <s v="Medium Rating"/>
  </r>
  <r>
    <x v="384"/>
    <x v="150"/>
    <x v="5"/>
    <s v="Mumbai"/>
    <s v="Maharashtra"/>
    <s v="West"/>
    <s v="Neha Kapoor"/>
    <x v="1"/>
    <s v="Shampoo"/>
    <n v="6"/>
    <n v="442.22"/>
    <n v="0"/>
    <n v="0"/>
    <n v="2653.32"/>
    <n v="1740"/>
    <n v="913.32"/>
    <s v="Profit"/>
    <s v="No Discount"/>
    <x v="0"/>
    <x v="0"/>
    <n v="3.6"/>
    <s v="Medium Rating"/>
  </r>
  <r>
    <x v="385"/>
    <x v="150"/>
    <x v="7"/>
    <s v="Kolkata"/>
    <s v="West Bengal"/>
    <s v="East"/>
    <s v="Priya Sen"/>
    <x v="3"/>
    <s v="Rice 5kg"/>
    <n v="4"/>
    <n v="667.82"/>
    <n v="0"/>
    <n v="0"/>
    <n v="2671.28"/>
    <n v="2040"/>
    <n v="631.28"/>
    <s v="Profit"/>
    <s v="No Discount"/>
    <x v="3"/>
    <x v="0"/>
    <n v="3.4"/>
    <s v="Medium Rating"/>
  </r>
  <r>
    <x v="386"/>
    <x v="151"/>
    <x v="5"/>
    <s v="Mumbai"/>
    <s v="Maharashtra"/>
    <s v="West"/>
    <s v="Neha Kapoor"/>
    <x v="3"/>
    <s v="Rice 5kg"/>
    <n v="5"/>
    <n v="623.30999999999995"/>
    <n v="0"/>
    <n v="0"/>
    <n v="3116.55"/>
    <n v="2550"/>
    <n v="566.54999999999995"/>
    <s v="Profit"/>
    <s v="No Discount"/>
    <x v="0"/>
    <x v="0"/>
    <n v="4.4000000000000004"/>
    <s v="Medium Rating"/>
  </r>
  <r>
    <x v="387"/>
    <x v="152"/>
    <x v="2"/>
    <s v="Bengaluru"/>
    <s v="Karnataka"/>
    <s v="South"/>
    <s v="Vikram Rao"/>
    <x v="3"/>
    <s v="Rice 5kg"/>
    <n v="1"/>
    <n v="659.42"/>
    <n v="15"/>
    <n v="98.912999999999997"/>
    <n v="560.51"/>
    <n v="510"/>
    <n v="50.51"/>
    <s v="Profit"/>
    <s v="High Discount"/>
    <x v="4"/>
    <x v="0"/>
    <n v="3.7"/>
    <s v="Medium Rating"/>
  </r>
  <r>
    <x v="388"/>
    <x v="152"/>
    <x v="6"/>
    <s v="Lucknow"/>
    <s v="Uttar Pradesh"/>
    <s v="North"/>
    <s v="Sanjay Singh"/>
    <x v="4"/>
    <s v="Mixer Grinder"/>
    <n v="1"/>
    <n v="3678.63"/>
    <n v="5"/>
    <n v="183.93150000000003"/>
    <n v="-3494.7"/>
    <n v="2700"/>
    <n v="-6194.7"/>
    <s v="Loss"/>
    <s v="Low Discount"/>
    <x v="0"/>
    <x v="2"/>
    <n v="3.7"/>
    <s v="Medium Rating"/>
  </r>
  <r>
    <x v="389"/>
    <x v="153"/>
    <x v="4"/>
    <s v="Chennai"/>
    <s v="Tamil Nadu"/>
    <s v="South"/>
    <s v="Karthik Iyer"/>
    <x v="2"/>
    <s v="Sneakers"/>
    <n v="5"/>
    <n v="4338.2"/>
    <n v="10"/>
    <n v="2169.1"/>
    <n v="19521.900000000001"/>
    <n v="13000"/>
    <n v="6521.9"/>
    <s v="Profit"/>
    <s v="Medium Discount"/>
    <x v="0"/>
    <x v="0"/>
    <n v="3.7"/>
    <s v="Medium Rating"/>
  </r>
  <r>
    <x v="390"/>
    <x v="153"/>
    <x v="1"/>
    <s v="Hyderabad"/>
    <s v="Telangana"/>
    <s v="South"/>
    <s v="Anjali Reddy"/>
    <x v="2"/>
    <s v="Jeans"/>
    <n v="1"/>
    <n v="1834.03"/>
    <n v="10"/>
    <n v="183.40299999999999"/>
    <n v="1650.63"/>
    <n v="1050"/>
    <n v="600.63"/>
    <s v="Profit"/>
    <s v="Medium Discount"/>
    <x v="1"/>
    <x v="0"/>
    <n v="3.5"/>
    <s v="Medium Rating"/>
  </r>
  <r>
    <x v="391"/>
    <x v="153"/>
    <x v="7"/>
    <s v="Kolkata"/>
    <s v="West Bengal"/>
    <s v="East"/>
    <s v="Priya Sen"/>
    <x v="2"/>
    <s v="T-Shirt"/>
    <n v="3"/>
    <n v="889.87"/>
    <n v="10"/>
    <n v="266.96100000000001"/>
    <n v="-2402.65"/>
    <n v="1500"/>
    <n v="-3902.65"/>
    <s v="Loss"/>
    <s v="Medium Discount"/>
    <x v="4"/>
    <x v="2"/>
    <n v="3.4"/>
    <s v="Medium Rating"/>
  </r>
  <r>
    <x v="392"/>
    <x v="154"/>
    <x v="5"/>
    <s v="Mumbai"/>
    <s v="Maharashtra"/>
    <s v="West"/>
    <s v="Neha Kapoor"/>
    <x v="0"/>
    <s v="Smartwatch"/>
    <n v="1"/>
    <n v="4396.8900000000003"/>
    <n v="15"/>
    <n v="659.5335"/>
    <n v="3737.36"/>
    <n v="2900"/>
    <n v="837.36"/>
    <s v="Profit"/>
    <s v="High Discount"/>
    <x v="2"/>
    <x v="0"/>
    <n v="4.0999999999999996"/>
    <s v="Medium Rating"/>
  </r>
  <r>
    <x v="393"/>
    <x v="155"/>
    <x v="1"/>
    <s v="Hyderabad"/>
    <s v="Telangana"/>
    <s v="South"/>
    <s v="Anjali Reddy"/>
    <x v="4"/>
    <s v="Water Bottle"/>
    <n v="6"/>
    <n v="695.03"/>
    <n v="10"/>
    <n v="417.01800000000003"/>
    <n v="-3753.16"/>
    <n v="2400"/>
    <n v="-6153.16"/>
    <s v="Loss"/>
    <s v="Medium Discount"/>
    <x v="4"/>
    <x v="2"/>
    <n v="3.4"/>
    <s v="Medium Rating"/>
  </r>
  <r>
    <x v="394"/>
    <x v="155"/>
    <x v="5"/>
    <s v="Mumbai"/>
    <s v="Maharashtra"/>
    <s v="West"/>
    <s v="Neha Kapoor"/>
    <x v="4"/>
    <s v="Dinner Set"/>
    <n v="4"/>
    <n v="2485.66"/>
    <n v="5"/>
    <n v="497.13199999999995"/>
    <n v="9445.51"/>
    <n v="6200"/>
    <n v="3245.51"/>
    <s v="Profit"/>
    <s v="Low Discount"/>
    <x v="3"/>
    <x v="0"/>
    <n v="3.8"/>
    <s v="Medium Rating"/>
  </r>
  <r>
    <x v="395"/>
    <x v="156"/>
    <x v="5"/>
    <s v="Mumbai"/>
    <s v="Maharashtra"/>
    <s v="West"/>
    <s v="Neha Kapoor"/>
    <x v="0"/>
    <s v="Smartwatch"/>
    <n v="5"/>
    <n v="4416.1000000000004"/>
    <n v="0"/>
    <n v="0"/>
    <n v="22080.5"/>
    <n v="14500"/>
    <n v="7580.5"/>
    <s v="Profit"/>
    <s v="No Discount"/>
    <x v="4"/>
    <x v="0"/>
    <n v="3.6"/>
    <s v="Medium Rating"/>
  </r>
  <r>
    <x v="396"/>
    <x v="156"/>
    <x v="6"/>
    <s v="Lucknow"/>
    <s v="Uttar Pradesh"/>
    <s v="North"/>
    <s v="Sanjay Singh"/>
    <x v="4"/>
    <s v="Dinner Set"/>
    <n v="3"/>
    <n v="2449.21"/>
    <n v="10"/>
    <n v="734.76300000000003"/>
    <n v="6612.87"/>
    <n v="4650"/>
    <n v="1962.87"/>
    <s v="Profit"/>
    <s v="Medium Discount"/>
    <x v="2"/>
    <x v="0"/>
    <n v="3.9"/>
    <s v="Medium Rating"/>
  </r>
  <r>
    <x v="397"/>
    <x v="157"/>
    <x v="7"/>
    <s v="Kolkata"/>
    <s v="West Bengal"/>
    <s v="East"/>
    <s v="Priya Sen"/>
    <x v="4"/>
    <s v="Water Bottle"/>
    <n v="5"/>
    <n v="671.35"/>
    <n v="10"/>
    <n v="335.67500000000001"/>
    <n v="3021.08"/>
    <n v="2000"/>
    <n v="1021.08"/>
    <s v="Profit"/>
    <s v="Medium Discount"/>
    <x v="4"/>
    <x v="0"/>
    <n v="4.3"/>
    <s v="Medium Rating"/>
  </r>
  <r>
    <x v="398"/>
    <x v="157"/>
    <x v="6"/>
    <s v="Lucknow"/>
    <s v="Uttar Pradesh"/>
    <s v="North"/>
    <s v="Sanjay Singh"/>
    <x v="3"/>
    <s v="Biscuits Pack"/>
    <n v="6"/>
    <n v="103.16"/>
    <n v="20"/>
    <n v="123.792"/>
    <n v="495.17"/>
    <n v="432"/>
    <n v="63.17"/>
    <s v="Profit"/>
    <s v="High Discount"/>
    <x v="1"/>
    <x v="0"/>
    <n v="3.7"/>
    <s v="Medium Rating"/>
  </r>
  <r>
    <x v="399"/>
    <x v="157"/>
    <x v="1"/>
    <s v="Hyderabad"/>
    <s v="Telangana"/>
    <s v="South"/>
    <s v="Anjali Reddy"/>
    <x v="0"/>
    <s v="Laptop"/>
    <n v="3"/>
    <n v="54942.22"/>
    <n v="10"/>
    <n v="16482.666000000001"/>
    <n v="148343.99"/>
    <n v="126000"/>
    <n v="22343.99"/>
    <s v="Profit"/>
    <s v="Medium Discount"/>
    <x v="1"/>
    <x v="0"/>
    <n v="3"/>
    <s v="Medium Rating"/>
  </r>
  <r>
    <x v="400"/>
    <x v="158"/>
    <x v="2"/>
    <s v="Bengaluru"/>
    <s v="Karnataka"/>
    <s v="South"/>
    <s v="Vikram Rao"/>
    <x v="4"/>
    <s v="Water Bottle"/>
    <n v="5"/>
    <n v="730.87"/>
    <n v="5"/>
    <n v="182.7175"/>
    <n v="-3471.63"/>
    <n v="2000"/>
    <n v="-5471.63"/>
    <s v="Loss"/>
    <s v="Low Discount"/>
    <x v="1"/>
    <x v="2"/>
    <n v="3.8"/>
    <s v="Medium Rating"/>
  </r>
  <r>
    <x v="401"/>
    <x v="158"/>
    <x v="0"/>
    <s v="Delhi"/>
    <s v="Delhi"/>
    <s v="North"/>
    <s v="Amit Verma"/>
    <x v="2"/>
    <s v="T-Shirt"/>
    <n v="6"/>
    <n v="899.63"/>
    <n v="10"/>
    <n v="539.77799999999991"/>
    <n v="4858"/>
    <n v="3000"/>
    <n v="1858"/>
    <s v="Profit"/>
    <s v="Medium Discount"/>
    <x v="3"/>
    <x v="0"/>
    <n v="4.5999999999999996"/>
    <s v="High Rating"/>
  </r>
  <r>
    <x v="402"/>
    <x v="158"/>
    <x v="3"/>
    <s v="Jaipur"/>
    <s v="Rajasthan"/>
    <s v="West"/>
    <s v="Rajesh Sharma"/>
    <x v="0"/>
    <s v="Laptop"/>
    <n v="6"/>
    <n v="53097.279999999999"/>
    <n v="20"/>
    <n v="63716.735999999997"/>
    <n v="254866.94"/>
    <n v="252000"/>
    <n v="2866.94"/>
    <s v="Profit"/>
    <s v="High Discount"/>
    <x v="4"/>
    <x v="0"/>
    <n v="3.2"/>
    <s v="Medium Rating"/>
  </r>
  <r>
    <x v="403"/>
    <x v="159"/>
    <x v="4"/>
    <s v="Chennai"/>
    <s v="Tamil Nadu"/>
    <s v="South"/>
    <s v="Karthik Iyer"/>
    <x v="1"/>
    <s v="Perfume"/>
    <n v="4"/>
    <n v="1771"/>
    <n v="10"/>
    <n v="708.4"/>
    <n v="6375.6"/>
    <n v="4200"/>
    <n v="2175.6"/>
    <s v="Profit"/>
    <s v="Medium Discount"/>
    <x v="1"/>
    <x v="0"/>
    <n v="3.8"/>
    <s v="Medium Rating"/>
  </r>
  <r>
    <x v="404"/>
    <x v="160"/>
    <x v="4"/>
    <s v="Chennai"/>
    <s v="Tamil Nadu"/>
    <s v="South"/>
    <s v="Karthik Iyer"/>
    <x v="3"/>
    <s v="Rice 5kg"/>
    <n v="4"/>
    <n v="618.15"/>
    <n v="15"/>
    <n v="370.89"/>
    <n v="2101.71"/>
    <n v="2040"/>
    <n v="61.71"/>
    <s v="Profit"/>
    <s v="High Discount"/>
    <x v="4"/>
    <x v="0"/>
    <n v="4.2"/>
    <s v="Medium Rating"/>
  </r>
  <r>
    <x v="405"/>
    <x v="160"/>
    <x v="0"/>
    <s v="Delhi"/>
    <s v="Delhi"/>
    <s v="North"/>
    <s v="Amit Verma"/>
    <x v="2"/>
    <s v="Sneakers"/>
    <n v="3"/>
    <n v="4325.83"/>
    <n v="0"/>
    <n v="0"/>
    <n v="-12977.49"/>
    <n v="7800"/>
    <n v="-20777.490000000002"/>
    <s v="Loss"/>
    <s v="No Discount"/>
    <x v="3"/>
    <x v="2"/>
    <n v="3.3"/>
    <s v="Medium Rating"/>
  </r>
  <r>
    <x v="406"/>
    <x v="160"/>
    <x v="4"/>
    <s v="Chennai"/>
    <s v="Tamil Nadu"/>
    <s v="South"/>
    <s v="Karthik Iyer"/>
    <x v="1"/>
    <s v="Perfume"/>
    <n v="5"/>
    <n v="1761.02"/>
    <n v="0"/>
    <n v="0"/>
    <n v="8805.1"/>
    <n v="5250"/>
    <n v="3555.1"/>
    <s v="Profit"/>
    <s v="No Discount"/>
    <x v="3"/>
    <x v="0"/>
    <n v="3.3"/>
    <s v="Medium Rating"/>
  </r>
  <r>
    <x v="407"/>
    <x v="160"/>
    <x v="0"/>
    <s v="Delhi"/>
    <s v="Delhi"/>
    <s v="North"/>
    <s v="Amit Verma"/>
    <x v="3"/>
    <s v="Rice 5kg"/>
    <n v="3"/>
    <n v="632.28"/>
    <n v="0"/>
    <n v="0"/>
    <n v="1896.84"/>
    <n v="1530"/>
    <n v="366.84"/>
    <s v="Profit"/>
    <s v="No Discount"/>
    <x v="1"/>
    <x v="0"/>
    <n v="3.6"/>
    <s v="Medium Rating"/>
  </r>
  <r>
    <x v="408"/>
    <x v="161"/>
    <x v="6"/>
    <s v="Lucknow"/>
    <s v="Uttar Pradesh"/>
    <s v="North"/>
    <s v="Sanjay Singh"/>
    <x v="0"/>
    <s v="Smartwatch"/>
    <n v="5"/>
    <n v="4656.58"/>
    <n v="10"/>
    <n v="2328.29"/>
    <n v="20954.61"/>
    <n v="14500"/>
    <n v="6454.61"/>
    <s v="Profit"/>
    <s v="Medium Discount"/>
    <x v="4"/>
    <x v="0"/>
    <n v="4.2"/>
    <s v="Medium Rating"/>
  </r>
  <r>
    <x v="409"/>
    <x v="162"/>
    <x v="6"/>
    <s v="Lucknow"/>
    <s v="Uttar Pradesh"/>
    <s v="North"/>
    <s v="Sanjay Singh"/>
    <x v="2"/>
    <s v="Jacket"/>
    <n v="3"/>
    <n v="3138.93"/>
    <n v="5"/>
    <n v="470.83949999999999"/>
    <n v="8945.9500000000007"/>
    <n v="5700"/>
    <n v="3245.95"/>
    <s v="Profit"/>
    <s v="Low Discount"/>
    <x v="2"/>
    <x v="0"/>
    <n v="3.1"/>
    <s v="Medium Rating"/>
  </r>
  <r>
    <x v="410"/>
    <x v="163"/>
    <x v="3"/>
    <s v="Jaipur"/>
    <s v="Rajasthan"/>
    <s v="West"/>
    <s v="Rajesh Sharma"/>
    <x v="1"/>
    <s v="Moisturizer"/>
    <n v="6"/>
    <n v="548.9"/>
    <n v="15"/>
    <n v="494.00999999999993"/>
    <n v="2799.39"/>
    <n v="2040"/>
    <n v="759.39"/>
    <s v="Profit"/>
    <s v="High Discount"/>
    <x v="2"/>
    <x v="0"/>
    <n v="4.5"/>
    <s v="High Rating"/>
  </r>
  <r>
    <x v="411"/>
    <x v="163"/>
    <x v="5"/>
    <s v="Mumbai"/>
    <s v="Maharashtra"/>
    <s v="West"/>
    <s v="Neha Kapoor"/>
    <x v="1"/>
    <s v="Perfume"/>
    <n v="5"/>
    <n v="1850.21"/>
    <n v="20"/>
    <n v="1850.21"/>
    <n v="-7400.84"/>
    <n v="5250"/>
    <n v="-12650.84"/>
    <s v="Loss"/>
    <s v="High Discount"/>
    <x v="4"/>
    <x v="2"/>
    <n v="3.3"/>
    <s v="Medium Rating"/>
  </r>
  <r>
    <x v="412"/>
    <x v="164"/>
    <x v="0"/>
    <s v="Delhi"/>
    <s v="Delhi"/>
    <s v="North"/>
    <s v="Amit Verma"/>
    <x v="3"/>
    <s v="Tea 500g"/>
    <n v="6"/>
    <n v="270.29000000000002"/>
    <n v="20"/>
    <n v="324.34800000000001"/>
    <n v="1297.3900000000001"/>
    <n v="1260"/>
    <n v="37.39"/>
    <s v="Profit"/>
    <s v="High Discount"/>
    <x v="0"/>
    <x v="0"/>
    <n v="4.4000000000000004"/>
    <s v="Medium Rating"/>
  </r>
  <r>
    <x v="413"/>
    <x v="164"/>
    <x v="4"/>
    <s v="Chennai"/>
    <s v="Tamil Nadu"/>
    <s v="South"/>
    <s v="Karthik Iyer"/>
    <x v="0"/>
    <s v="Headphones"/>
    <n v="5"/>
    <n v="1788.91"/>
    <n v="0"/>
    <n v="0"/>
    <n v="8944.5499999999993"/>
    <n v="5500"/>
    <n v="3444.55"/>
    <s v="Profit"/>
    <s v="No Discount"/>
    <x v="2"/>
    <x v="0"/>
    <n v="3.6"/>
    <s v="Medium Rating"/>
  </r>
  <r>
    <x v="414"/>
    <x v="164"/>
    <x v="0"/>
    <s v="Delhi"/>
    <s v="Delhi"/>
    <s v="North"/>
    <s v="Amit Verma"/>
    <x v="4"/>
    <s v="Dinner Set"/>
    <n v="3"/>
    <n v="2418.34"/>
    <n v="0"/>
    <n v="0"/>
    <n v="-7255.02"/>
    <n v="4650"/>
    <n v="-11905.02"/>
    <s v="Loss"/>
    <s v="No Discount"/>
    <x v="1"/>
    <x v="2"/>
    <n v="4.5999999999999996"/>
    <s v="High Rating"/>
  </r>
  <r>
    <x v="415"/>
    <x v="165"/>
    <x v="1"/>
    <s v="Hyderabad"/>
    <s v="Telangana"/>
    <s v="South"/>
    <s v="Anjali Reddy"/>
    <x v="4"/>
    <s v="Coffee Maker"/>
    <n v="3"/>
    <n v="5373.95"/>
    <n v="0"/>
    <n v="0"/>
    <n v="16121.85"/>
    <n v="10800"/>
    <n v="5321.85"/>
    <s v="Profit"/>
    <s v="No Discount"/>
    <x v="0"/>
    <x v="0"/>
    <n v="3.3"/>
    <s v="Medium Rating"/>
  </r>
  <r>
    <x v="416"/>
    <x v="165"/>
    <x v="1"/>
    <s v="Hyderabad"/>
    <s v="Telangana"/>
    <s v="South"/>
    <s v="Anjali Reddy"/>
    <x v="1"/>
    <s v="Perfume"/>
    <n v="3"/>
    <n v="1863.75"/>
    <n v="0"/>
    <n v="0"/>
    <n v="5591.25"/>
    <n v="3150"/>
    <n v="2441.25"/>
    <s v="Profit"/>
    <s v="No Discount"/>
    <x v="4"/>
    <x v="0"/>
    <n v="3.7"/>
    <s v="Medium Rating"/>
  </r>
  <r>
    <x v="417"/>
    <x v="165"/>
    <x v="4"/>
    <s v="Chennai"/>
    <s v="Tamil Nadu"/>
    <s v="South"/>
    <s v="Karthik Iyer"/>
    <x v="2"/>
    <s v="Jeans"/>
    <n v="5"/>
    <n v="1759.01"/>
    <n v="15"/>
    <n v="1319.2574999999999"/>
    <n v="7475.79"/>
    <n v="5250"/>
    <n v="2225.79"/>
    <s v="Profit"/>
    <s v="High Discount"/>
    <x v="0"/>
    <x v="0"/>
    <n v="4"/>
    <s v="Medium Rating"/>
  </r>
  <r>
    <x v="418"/>
    <x v="166"/>
    <x v="6"/>
    <s v="Lucknow"/>
    <s v="Uttar Pradesh"/>
    <s v="North"/>
    <s v="Sanjay Singh"/>
    <x v="1"/>
    <s v="Moisturizer"/>
    <n v="3"/>
    <n v="533.75"/>
    <n v="5"/>
    <n v="80.0625"/>
    <n v="1521.19"/>
    <n v="1020"/>
    <n v="501.19"/>
    <s v="Profit"/>
    <s v="Low Discount"/>
    <x v="0"/>
    <x v="0"/>
    <n v="3.6"/>
    <s v="Medium Rating"/>
  </r>
  <r>
    <x v="419"/>
    <x v="166"/>
    <x v="7"/>
    <s v="Kolkata"/>
    <s v="West Bengal"/>
    <s v="East"/>
    <s v="Priya Sen"/>
    <x v="2"/>
    <s v="Sneakers"/>
    <n v="2"/>
    <n v="4254.55"/>
    <n v="0"/>
    <n v="0"/>
    <n v="8509.1"/>
    <n v="5200"/>
    <n v="3309.1"/>
    <s v="Profit"/>
    <s v="No Discount"/>
    <x v="1"/>
    <x v="0"/>
    <n v="4.0999999999999996"/>
    <s v="Medium Rating"/>
  </r>
  <r>
    <x v="420"/>
    <x v="166"/>
    <x v="2"/>
    <s v="Bengaluru"/>
    <s v="Karnataka"/>
    <s v="South"/>
    <s v="Vikram Rao"/>
    <x v="4"/>
    <s v="Coffee Maker"/>
    <n v="6"/>
    <n v="5142.37"/>
    <n v="5"/>
    <n v="1542.711"/>
    <n v="29311.51"/>
    <n v="21600"/>
    <n v="7711.51"/>
    <s v="Profit"/>
    <s v="Low Discount"/>
    <x v="4"/>
    <x v="0"/>
    <n v="4.5999999999999996"/>
    <s v="High Rating"/>
  </r>
  <r>
    <x v="421"/>
    <x v="167"/>
    <x v="6"/>
    <s v="Lucknow"/>
    <s v="Uttar Pradesh"/>
    <s v="North"/>
    <s v="Sanjay Singh"/>
    <x v="1"/>
    <s v="Perfume"/>
    <n v="1"/>
    <n v="1773.62"/>
    <n v="5"/>
    <n v="88.680999999999983"/>
    <n v="0"/>
    <n v="1050"/>
    <n v="0"/>
    <s v="Break Even"/>
    <s v="Low Discount"/>
    <x v="1"/>
    <x v="1"/>
    <m/>
    <s v="Not Rated"/>
  </r>
  <r>
    <x v="422"/>
    <x v="167"/>
    <x v="5"/>
    <s v="Mumbai"/>
    <s v="Maharashtra"/>
    <s v="West"/>
    <s v="Neha Kapoor"/>
    <x v="3"/>
    <s v="Rice 5kg"/>
    <n v="3"/>
    <n v="643.35"/>
    <n v="5"/>
    <n v="96.502499999999998"/>
    <n v="1833.55"/>
    <n v="1530"/>
    <n v="303.55"/>
    <s v="Profit"/>
    <s v="Low Discount"/>
    <x v="4"/>
    <x v="0"/>
    <n v="3.2"/>
    <s v="Medium Rating"/>
  </r>
  <r>
    <x v="423"/>
    <x v="167"/>
    <x v="0"/>
    <s v="Delhi"/>
    <s v="Delhi"/>
    <s v="North"/>
    <s v="Amit Verma"/>
    <x v="3"/>
    <s v="Rice 5kg"/>
    <n v="6"/>
    <n v="676.08"/>
    <n v="5"/>
    <n v="202.82400000000001"/>
    <n v="3853.66"/>
    <n v="3060"/>
    <n v="793.66"/>
    <s v="Profit"/>
    <s v="Low Discount"/>
    <x v="4"/>
    <x v="0"/>
    <n v="4.0999999999999996"/>
    <s v="Medium Rating"/>
  </r>
  <r>
    <x v="424"/>
    <x v="168"/>
    <x v="0"/>
    <s v="Delhi"/>
    <s v="Delhi"/>
    <s v="North"/>
    <s v="Amit Verma"/>
    <x v="3"/>
    <s v="Rice 5kg"/>
    <n v="3"/>
    <n v="654.84"/>
    <n v="15"/>
    <n v="294.678"/>
    <n v="1669.84"/>
    <n v="1530"/>
    <n v="139.84"/>
    <s v="Profit"/>
    <s v="High Discount"/>
    <x v="4"/>
    <x v="0"/>
    <n v="4.0999999999999996"/>
    <s v="Medium Rating"/>
  </r>
  <r>
    <x v="425"/>
    <x v="168"/>
    <x v="7"/>
    <s v="Kolkata"/>
    <s v="West Bengal"/>
    <s v="East"/>
    <s v="Priya Sen"/>
    <x v="1"/>
    <s v="Perfume"/>
    <n v="4"/>
    <n v="1866.08"/>
    <n v="0"/>
    <n v="0"/>
    <n v="-7464.32"/>
    <n v="4200"/>
    <n v="-11664.32"/>
    <s v="Loss"/>
    <s v="No Discount"/>
    <x v="0"/>
    <x v="2"/>
    <n v="3.3"/>
    <s v="Medium Rating"/>
  </r>
  <r>
    <x v="426"/>
    <x v="168"/>
    <x v="4"/>
    <s v="Chennai"/>
    <s v="Tamil Nadu"/>
    <s v="South"/>
    <s v="Karthik Iyer"/>
    <x v="2"/>
    <s v="Jacket"/>
    <n v="5"/>
    <n v="3146.47"/>
    <n v="5"/>
    <n v="786.61749999999995"/>
    <n v="-14945.73"/>
    <n v="9500"/>
    <n v="-24445.73"/>
    <s v="Loss"/>
    <s v="Low Discount"/>
    <x v="0"/>
    <x v="2"/>
    <n v="3.4"/>
    <s v="Medium Rating"/>
  </r>
  <r>
    <x v="427"/>
    <x v="169"/>
    <x v="5"/>
    <s v="Mumbai"/>
    <s v="Maharashtra"/>
    <s v="West"/>
    <s v="Neha Kapoor"/>
    <x v="2"/>
    <s v="Jeans"/>
    <n v="5"/>
    <n v="1715.12"/>
    <n v="15"/>
    <n v="1286.3399999999997"/>
    <n v="-7289.26"/>
    <n v="5250"/>
    <n v="-12539.26"/>
    <s v="Loss"/>
    <s v="High Discount"/>
    <x v="3"/>
    <x v="2"/>
    <n v="4.5999999999999996"/>
    <s v="High Rating"/>
  </r>
  <r>
    <x v="428"/>
    <x v="169"/>
    <x v="1"/>
    <s v="Hyderabad"/>
    <s v="Telangana"/>
    <s v="South"/>
    <s v="Anjali Reddy"/>
    <x v="2"/>
    <s v="T-Shirt"/>
    <n v="5"/>
    <n v="916.06"/>
    <n v="10"/>
    <n v="458.02999999999992"/>
    <n v="4122.2700000000004"/>
    <n v="2500"/>
    <n v="1622.27"/>
    <s v="Profit"/>
    <s v="Medium Discount"/>
    <x v="2"/>
    <x v="0"/>
    <n v="4.3"/>
    <s v="Medium Rating"/>
  </r>
  <r>
    <x v="429"/>
    <x v="170"/>
    <x v="4"/>
    <s v="Chennai"/>
    <s v="Tamil Nadu"/>
    <s v="South"/>
    <s v="Karthik Iyer"/>
    <x v="0"/>
    <s v="Laptop"/>
    <n v="4"/>
    <n v="52581.2"/>
    <n v="0"/>
    <n v="0"/>
    <n v="210324.8"/>
    <n v="168000"/>
    <n v="42324.800000000003"/>
    <s v="Profit"/>
    <s v="No Discount"/>
    <x v="2"/>
    <x v="0"/>
    <n v="4"/>
    <s v="Medium Rating"/>
  </r>
  <r>
    <x v="430"/>
    <x v="170"/>
    <x v="0"/>
    <s v="Delhi"/>
    <s v="Delhi"/>
    <s v="North"/>
    <s v="Amit Verma"/>
    <x v="4"/>
    <s v="Mixer Grinder"/>
    <n v="5"/>
    <n v="3710.9"/>
    <n v="10"/>
    <n v="1855.45"/>
    <n v="16699.05"/>
    <n v="13500"/>
    <n v="3199.05"/>
    <s v="Profit"/>
    <s v="Medium Discount"/>
    <x v="4"/>
    <x v="0"/>
    <n v="4.3"/>
    <s v="Medium Rating"/>
  </r>
  <r>
    <x v="431"/>
    <x v="170"/>
    <x v="6"/>
    <s v="Lucknow"/>
    <s v="Uttar Pradesh"/>
    <s v="North"/>
    <s v="Sanjay Singh"/>
    <x v="3"/>
    <s v="Tea 500g"/>
    <n v="2"/>
    <n v="267.64"/>
    <n v="5"/>
    <n v="26.763999999999996"/>
    <n v="508.52"/>
    <n v="420"/>
    <n v="88.52"/>
    <s v="Profit"/>
    <s v="Low Discount"/>
    <x v="4"/>
    <x v="0"/>
    <n v="3.8"/>
    <s v="Medium Rating"/>
  </r>
  <r>
    <x v="432"/>
    <x v="171"/>
    <x v="5"/>
    <s v="Mumbai"/>
    <s v="Maharashtra"/>
    <s v="West"/>
    <s v="Neha Kapoor"/>
    <x v="2"/>
    <s v="Jeans"/>
    <n v="2"/>
    <n v="1744.95"/>
    <n v="10"/>
    <n v="348.99"/>
    <n v="3140.91"/>
    <n v="2100"/>
    <n v="1040.9100000000001"/>
    <s v="Profit"/>
    <s v="Medium Discount"/>
    <x v="2"/>
    <x v="0"/>
    <n v="3.8"/>
    <s v="Medium Rating"/>
  </r>
  <r>
    <x v="433"/>
    <x v="171"/>
    <x v="7"/>
    <s v="Kolkata"/>
    <s v="West Bengal"/>
    <s v="East"/>
    <s v="Priya Sen"/>
    <x v="1"/>
    <s v="Shampoo"/>
    <n v="5"/>
    <n v="438.28"/>
    <n v="10"/>
    <n v="219.13999999999996"/>
    <n v="1972.26"/>
    <n v="1450"/>
    <n v="522.26"/>
    <s v="Profit"/>
    <s v="Medium Discount"/>
    <x v="0"/>
    <x v="0"/>
    <n v="3.2"/>
    <s v="Medium Rating"/>
  </r>
  <r>
    <x v="434"/>
    <x v="172"/>
    <x v="5"/>
    <s v="Mumbai"/>
    <s v="Maharashtra"/>
    <s v="West"/>
    <s v="Neha Kapoor"/>
    <x v="4"/>
    <s v="Coffee Maker"/>
    <n v="2"/>
    <n v="5080.26"/>
    <n v="20"/>
    <n v="2032.1040000000003"/>
    <n v="8128.42"/>
    <n v="7200"/>
    <n v="928.42"/>
    <s v="Profit"/>
    <s v="High Discount"/>
    <x v="4"/>
    <x v="0"/>
    <n v="3.3"/>
    <s v="Medium Rating"/>
  </r>
  <r>
    <x v="435"/>
    <x v="173"/>
    <x v="4"/>
    <s v="Chennai"/>
    <s v="Tamil Nadu"/>
    <s v="South"/>
    <s v="Karthik Iyer"/>
    <x v="4"/>
    <s v="Coffee Maker"/>
    <n v="1"/>
    <n v="5074.08"/>
    <n v="0"/>
    <n v="0"/>
    <n v="5074.08"/>
    <n v="3600"/>
    <n v="1474.08"/>
    <s v="Profit"/>
    <s v="No Discount"/>
    <x v="0"/>
    <x v="0"/>
    <n v="4.7"/>
    <s v="High Rating"/>
  </r>
  <r>
    <x v="436"/>
    <x v="173"/>
    <x v="4"/>
    <s v="Chennai"/>
    <s v="Tamil Nadu"/>
    <s v="South"/>
    <s v="Karthik Iyer"/>
    <x v="4"/>
    <s v="Water Bottle"/>
    <n v="3"/>
    <n v="713.38"/>
    <n v="20"/>
    <n v="428.02799999999996"/>
    <n v="1712.11"/>
    <n v="1200"/>
    <n v="512.11"/>
    <s v="Profit"/>
    <s v="High Discount"/>
    <x v="3"/>
    <x v="0"/>
    <n v="4.5"/>
    <s v="High Rating"/>
  </r>
  <r>
    <x v="437"/>
    <x v="174"/>
    <x v="6"/>
    <s v="Lucknow"/>
    <s v="Uttar Pradesh"/>
    <s v="North"/>
    <s v="Sanjay Singh"/>
    <x v="1"/>
    <s v="Shampoo"/>
    <n v="6"/>
    <n v="468.33"/>
    <n v="10"/>
    <n v="280.99799999999999"/>
    <n v="2528.98"/>
    <n v="1740"/>
    <n v="788.98"/>
    <s v="Profit"/>
    <s v="Medium Discount"/>
    <x v="1"/>
    <x v="0"/>
    <n v="4.8"/>
    <s v="High Rating"/>
  </r>
  <r>
    <x v="438"/>
    <x v="174"/>
    <x v="6"/>
    <s v="Lucknow"/>
    <s v="Uttar Pradesh"/>
    <s v="North"/>
    <s v="Sanjay Singh"/>
    <x v="4"/>
    <s v="Mixer Grinder"/>
    <n v="1"/>
    <n v="3702.84"/>
    <n v="0"/>
    <n v="0"/>
    <n v="3702.84"/>
    <n v="2700"/>
    <n v="1002.84"/>
    <s v="Profit"/>
    <s v="No Discount"/>
    <x v="2"/>
    <x v="0"/>
    <n v="4.5999999999999996"/>
    <s v="High Rating"/>
  </r>
  <r>
    <x v="439"/>
    <x v="174"/>
    <x v="2"/>
    <s v="Bengaluru"/>
    <s v="Karnataka"/>
    <s v="South"/>
    <s v="Vikram Rao"/>
    <x v="3"/>
    <s v="Cooking Oil 1L"/>
    <n v="1"/>
    <n v="151.01"/>
    <n v="5"/>
    <n v="7.5504999999999995"/>
    <n v="143.46"/>
    <n v="120"/>
    <n v="23.46"/>
    <s v="Profit"/>
    <s v="Low Discount"/>
    <x v="0"/>
    <x v="0"/>
    <n v="5"/>
    <s v="High Rating"/>
  </r>
  <r>
    <x v="440"/>
    <x v="174"/>
    <x v="3"/>
    <s v="Jaipur"/>
    <s v="Rajasthan"/>
    <s v="West"/>
    <s v="Rajesh Sharma"/>
    <x v="2"/>
    <s v="Sneakers"/>
    <n v="4"/>
    <n v="4064.99"/>
    <n v="10"/>
    <n v="1625.9959999999999"/>
    <n v="14633.96"/>
    <n v="10400"/>
    <n v="4233.96"/>
    <s v="Profit"/>
    <s v="Medium Discount"/>
    <x v="3"/>
    <x v="0"/>
    <n v="3.5"/>
    <s v="Medium Rating"/>
  </r>
  <r>
    <x v="441"/>
    <x v="174"/>
    <x v="3"/>
    <s v="Jaipur"/>
    <s v="Rajasthan"/>
    <s v="West"/>
    <s v="Rajesh Sharma"/>
    <x v="0"/>
    <s v="Laptop"/>
    <n v="1"/>
    <n v="57208.49"/>
    <n v="0"/>
    <n v="0"/>
    <n v="57208.49"/>
    <n v="42000"/>
    <n v="15208.49"/>
    <s v="Profit"/>
    <s v="No Discount"/>
    <x v="0"/>
    <x v="0"/>
    <n v="4.3"/>
    <s v="Medium Rating"/>
  </r>
  <r>
    <x v="442"/>
    <x v="175"/>
    <x v="0"/>
    <s v="Delhi"/>
    <s v="Delhi"/>
    <s v="North"/>
    <s v="Amit Verma"/>
    <x v="2"/>
    <s v="Jacket"/>
    <n v="2"/>
    <n v="3041.57"/>
    <n v="0"/>
    <n v="0"/>
    <n v="-6083.14"/>
    <n v="3800"/>
    <n v="-9883.14"/>
    <s v="Loss"/>
    <s v="No Discount"/>
    <x v="0"/>
    <x v="2"/>
    <n v="4.3"/>
    <s v="Medium Rating"/>
  </r>
  <r>
    <x v="443"/>
    <x v="175"/>
    <x v="2"/>
    <s v="Bengaluru"/>
    <s v="Karnataka"/>
    <s v="South"/>
    <s v="Vikram Rao"/>
    <x v="1"/>
    <s v="Moisturizer"/>
    <n v="3"/>
    <n v="532.36"/>
    <n v="15"/>
    <n v="239.56199999999998"/>
    <n v="1357.52"/>
    <n v="1020"/>
    <n v="337.52"/>
    <s v="Profit"/>
    <s v="High Discount"/>
    <x v="2"/>
    <x v="0"/>
    <n v="4.5999999999999996"/>
    <s v="High Rating"/>
  </r>
  <r>
    <x v="444"/>
    <x v="176"/>
    <x v="7"/>
    <s v="Kolkata"/>
    <s v="West Bengal"/>
    <s v="East"/>
    <s v="Priya Sen"/>
    <x v="1"/>
    <s v="Face Wash"/>
    <n v="4"/>
    <n v="358.48"/>
    <n v="5"/>
    <n v="71.695999999999998"/>
    <n v="1362.22"/>
    <n v="880"/>
    <n v="482.22"/>
    <s v="Profit"/>
    <s v="Low Discount"/>
    <x v="1"/>
    <x v="0"/>
    <n v="4.5999999999999996"/>
    <s v="High Rating"/>
  </r>
  <r>
    <x v="445"/>
    <x v="177"/>
    <x v="0"/>
    <s v="Delhi"/>
    <s v="Delhi"/>
    <s v="North"/>
    <s v="Amit Verma"/>
    <x v="3"/>
    <s v="Rice 5kg"/>
    <n v="3"/>
    <n v="619.91999999999996"/>
    <n v="0"/>
    <n v="0"/>
    <n v="1859.76"/>
    <n v="1530"/>
    <n v="329.76"/>
    <s v="Profit"/>
    <s v="No Discount"/>
    <x v="2"/>
    <x v="0"/>
    <n v="4.8"/>
    <s v="High Rating"/>
  </r>
  <r>
    <x v="446"/>
    <x v="177"/>
    <x v="3"/>
    <s v="Jaipur"/>
    <s v="Rajasthan"/>
    <s v="West"/>
    <s v="Rajesh Sharma"/>
    <x v="2"/>
    <s v="Jeans"/>
    <n v="6"/>
    <n v="1776.1"/>
    <n v="20"/>
    <n v="2131.3199999999997"/>
    <n v="8525.2800000000007"/>
    <n v="6300"/>
    <n v="2225.2800000000002"/>
    <s v="Profit"/>
    <s v="High Discount"/>
    <x v="0"/>
    <x v="0"/>
    <n v="4.5999999999999996"/>
    <s v="High Rating"/>
  </r>
  <r>
    <x v="447"/>
    <x v="177"/>
    <x v="6"/>
    <s v="Lucknow"/>
    <s v="Uttar Pradesh"/>
    <s v="North"/>
    <s v="Sanjay Singh"/>
    <x v="2"/>
    <s v="T-Shirt"/>
    <n v="1"/>
    <n v="944.19"/>
    <n v="5"/>
    <n v="47.209500000000006"/>
    <n v="896.98"/>
    <n v="500"/>
    <n v="396.98"/>
    <s v="Profit"/>
    <s v="Low Discount"/>
    <x v="4"/>
    <x v="0"/>
    <n v="4.7"/>
    <s v="High Rating"/>
  </r>
  <r>
    <x v="448"/>
    <x v="178"/>
    <x v="6"/>
    <s v="Lucknow"/>
    <s v="Uttar Pradesh"/>
    <s v="North"/>
    <s v="Sanjay Singh"/>
    <x v="4"/>
    <s v="Mixer Grinder"/>
    <n v="6"/>
    <n v="3958.9"/>
    <n v="20"/>
    <n v="4750.68"/>
    <n v="19002.72"/>
    <n v="16200"/>
    <n v="2802.72"/>
    <s v="Profit"/>
    <s v="High Discount"/>
    <x v="0"/>
    <x v="0"/>
    <n v="4"/>
    <s v="Medium Rating"/>
  </r>
  <r>
    <x v="449"/>
    <x v="179"/>
    <x v="4"/>
    <s v="Chennai"/>
    <s v="Tamil Nadu"/>
    <s v="South"/>
    <s v="Karthik Iyer"/>
    <x v="4"/>
    <s v="Dinner Set"/>
    <n v="1"/>
    <n v="2482.9899999999998"/>
    <n v="10"/>
    <n v="248.29899999999998"/>
    <n v="2234.69"/>
    <n v="1550"/>
    <n v="684.69"/>
    <s v="Profit"/>
    <s v="Medium Discount"/>
    <x v="4"/>
    <x v="0"/>
    <n v="3.9"/>
    <s v="Medium Rating"/>
  </r>
  <r>
    <x v="450"/>
    <x v="180"/>
    <x v="6"/>
    <s v="Lucknow"/>
    <s v="Uttar Pradesh"/>
    <s v="North"/>
    <s v="Sanjay Singh"/>
    <x v="3"/>
    <s v="Tea 500g"/>
    <n v="5"/>
    <n v="286.89"/>
    <n v="5"/>
    <n v="71.722499999999997"/>
    <n v="1362.73"/>
    <n v="1050"/>
    <n v="312.73"/>
    <s v="Profit"/>
    <s v="Low Discount"/>
    <x v="2"/>
    <x v="0"/>
    <n v="4.7"/>
    <s v="High Rating"/>
  </r>
  <r>
    <x v="451"/>
    <x v="181"/>
    <x v="4"/>
    <s v="Chennai"/>
    <s v="Tamil Nadu"/>
    <s v="South"/>
    <s v="Karthik Iyer"/>
    <x v="0"/>
    <s v="Headphones"/>
    <n v="3"/>
    <n v="1764.48"/>
    <n v="5"/>
    <n v="264.67200000000003"/>
    <n v="5028.7700000000004"/>
    <n v="3300"/>
    <n v="1728.77"/>
    <s v="Profit"/>
    <s v="Low Discount"/>
    <x v="1"/>
    <x v="0"/>
    <n v="3.5"/>
    <s v="Medium Rating"/>
  </r>
  <r>
    <x v="452"/>
    <x v="181"/>
    <x v="4"/>
    <s v="Chennai"/>
    <s v="Tamil Nadu"/>
    <s v="South"/>
    <s v="Karthik Iyer"/>
    <x v="4"/>
    <s v="Water Bottle"/>
    <n v="2"/>
    <n v="672.52"/>
    <n v="5"/>
    <n v="67.251999999999995"/>
    <n v="1277.79"/>
    <n v="800"/>
    <n v="477.79"/>
    <s v="Profit"/>
    <s v="Low Discount"/>
    <x v="0"/>
    <x v="0"/>
    <n v="4.9000000000000004"/>
    <s v="High Rating"/>
  </r>
  <r>
    <x v="453"/>
    <x v="182"/>
    <x v="7"/>
    <s v="Kolkata"/>
    <s v="West Bengal"/>
    <s v="East"/>
    <s v="Priya Sen"/>
    <x v="3"/>
    <s v="Tea 500g"/>
    <n v="1"/>
    <n v="270.58999999999997"/>
    <n v="5"/>
    <n v="13.529499999999999"/>
    <n v="257.06"/>
    <n v="210"/>
    <n v="47.06"/>
    <s v="Profit"/>
    <s v="Low Discount"/>
    <x v="0"/>
    <x v="0"/>
    <n v="3.2"/>
    <s v="Medium Rating"/>
  </r>
  <r>
    <x v="454"/>
    <x v="182"/>
    <x v="3"/>
    <s v="Jaipur"/>
    <s v="Rajasthan"/>
    <s v="West"/>
    <s v="Rajesh Sharma"/>
    <x v="4"/>
    <s v="Coffee Maker"/>
    <n v="1"/>
    <n v="5413.14"/>
    <n v="5"/>
    <n v="270.65699999999998"/>
    <n v="5142.4799999999996"/>
    <n v="3600"/>
    <n v="1542.48"/>
    <s v="Profit"/>
    <s v="Low Discount"/>
    <x v="4"/>
    <x v="0"/>
    <n v="3.9"/>
    <s v="Medium Rating"/>
  </r>
  <r>
    <x v="455"/>
    <x v="183"/>
    <x v="5"/>
    <s v="Mumbai"/>
    <s v="Maharashtra"/>
    <s v="West"/>
    <s v="Neha Kapoor"/>
    <x v="0"/>
    <s v="Headphones"/>
    <n v="5"/>
    <n v="1825.42"/>
    <n v="0"/>
    <n v="0"/>
    <n v="9127.1"/>
    <n v="5500"/>
    <n v="3627.1"/>
    <s v="Profit"/>
    <s v="No Discount"/>
    <x v="3"/>
    <x v="0"/>
    <n v="4.2"/>
    <s v="Medium Rating"/>
  </r>
  <r>
    <x v="456"/>
    <x v="183"/>
    <x v="0"/>
    <s v="Delhi"/>
    <s v="Delhi"/>
    <s v="North"/>
    <s v="Amit Verma"/>
    <x v="4"/>
    <s v="Water Bottle"/>
    <n v="2"/>
    <n v="734.43"/>
    <n v="10"/>
    <n v="146.886"/>
    <n v="-1321.97"/>
    <n v="800"/>
    <n v="-2121.9699999999998"/>
    <s v="Loss"/>
    <s v="Medium Discount"/>
    <x v="3"/>
    <x v="2"/>
    <n v="4.7"/>
    <s v="High Rating"/>
  </r>
  <r>
    <x v="457"/>
    <x v="184"/>
    <x v="3"/>
    <s v="Jaipur"/>
    <s v="Rajasthan"/>
    <s v="West"/>
    <s v="Rajesh Sharma"/>
    <x v="3"/>
    <s v="Biscuits Pack"/>
    <n v="5"/>
    <n v="101.7"/>
    <n v="10"/>
    <n v="50.85"/>
    <n v="457.65"/>
    <n v="360"/>
    <n v="97.65"/>
    <s v="Profit"/>
    <s v="Medium Discount"/>
    <x v="4"/>
    <x v="0"/>
    <n v="3.4"/>
    <s v="Medium Rating"/>
  </r>
  <r>
    <x v="458"/>
    <x v="184"/>
    <x v="3"/>
    <s v="Jaipur"/>
    <s v="Rajasthan"/>
    <s v="West"/>
    <s v="Rajesh Sharma"/>
    <x v="4"/>
    <s v="Water Bottle"/>
    <n v="1"/>
    <n v="730.96"/>
    <n v="15"/>
    <n v="109.64400000000002"/>
    <n v="0"/>
    <n v="400"/>
    <n v="0"/>
    <s v="Break Even"/>
    <s v="High Discount"/>
    <x v="3"/>
    <x v="1"/>
    <m/>
    <s v="Not Rated"/>
  </r>
  <r>
    <x v="459"/>
    <x v="184"/>
    <x v="1"/>
    <s v="Hyderabad"/>
    <s v="Telangana"/>
    <s v="South"/>
    <s v="Anjali Reddy"/>
    <x v="1"/>
    <s v="Perfume"/>
    <n v="6"/>
    <n v="1756.45"/>
    <n v="15"/>
    <n v="1580.8050000000001"/>
    <n v="8957.9"/>
    <n v="6300"/>
    <n v="2657.9"/>
    <s v="Profit"/>
    <s v="High Discount"/>
    <x v="0"/>
    <x v="0"/>
    <n v="3.1"/>
    <s v="Medium Rating"/>
  </r>
  <r>
    <x v="460"/>
    <x v="184"/>
    <x v="5"/>
    <s v="Mumbai"/>
    <s v="Maharashtra"/>
    <s v="West"/>
    <s v="Neha Kapoor"/>
    <x v="3"/>
    <s v="Cooking Oil 1L"/>
    <n v="5"/>
    <n v="155.19999999999999"/>
    <n v="5"/>
    <n v="38.799999999999997"/>
    <n v="737.2"/>
    <n v="600"/>
    <n v="137.19999999999999"/>
    <s v="Profit"/>
    <s v="Low Discount"/>
    <x v="1"/>
    <x v="0"/>
    <n v="4.2"/>
    <s v="Medium Rating"/>
  </r>
  <r>
    <x v="461"/>
    <x v="185"/>
    <x v="3"/>
    <s v="Jaipur"/>
    <s v="Rajasthan"/>
    <s v="West"/>
    <s v="Rajesh Sharma"/>
    <x v="4"/>
    <s v="Coffee Maker"/>
    <n v="6"/>
    <n v="5074.53"/>
    <n v="0"/>
    <n v="0"/>
    <n v="0"/>
    <n v="21600"/>
    <n v="0"/>
    <s v="Break Even"/>
    <s v="No Discount"/>
    <x v="1"/>
    <x v="1"/>
    <m/>
    <s v="Not Rated"/>
  </r>
  <r>
    <x v="462"/>
    <x v="186"/>
    <x v="0"/>
    <s v="Delhi"/>
    <s v="Delhi"/>
    <s v="North"/>
    <s v="Amit Verma"/>
    <x v="4"/>
    <s v="Coffee Maker"/>
    <n v="5"/>
    <n v="5357.33"/>
    <n v="20"/>
    <n v="5357.33"/>
    <n v="21429.32"/>
    <n v="18000"/>
    <n v="3429.32"/>
    <s v="Profit"/>
    <s v="High Discount"/>
    <x v="0"/>
    <x v="0"/>
    <n v="4"/>
    <s v="Medium Rating"/>
  </r>
  <r>
    <x v="463"/>
    <x v="186"/>
    <x v="6"/>
    <s v="Lucknow"/>
    <s v="Uttar Pradesh"/>
    <s v="North"/>
    <s v="Sanjay Singh"/>
    <x v="4"/>
    <s v="Dinner Set"/>
    <n v="5"/>
    <n v="2357.87"/>
    <n v="15"/>
    <n v="1768.4024999999997"/>
    <n v="10020.950000000001"/>
    <n v="7750"/>
    <n v="2270.9499999999998"/>
    <s v="Profit"/>
    <s v="High Discount"/>
    <x v="0"/>
    <x v="0"/>
    <n v="4.5"/>
    <s v="High Rating"/>
  </r>
  <r>
    <x v="464"/>
    <x v="186"/>
    <x v="4"/>
    <s v="Chennai"/>
    <s v="Tamil Nadu"/>
    <s v="South"/>
    <s v="Karthik Iyer"/>
    <x v="3"/>
    <s v="Tea 500g"/>
    <n v="1"/>
    <n v="267.83999999999997"/>
    <n v="10"/>
    <n v="26.783999999999995"/>
    <n v="241.06"/>
    <n v="210"/>
    <n v="31.06"/>
    <s v="Profit"/>
    <s v="Medium Discount"/>
    <x v="1"/>
    <x v="0"/>
    <n v="4.5"/>
    <s v="High Rating"/>
  </r>
  <r>
    <x v="465"/>
    <x v="187"/>
    <x v="7"/>
    <s v="Kolkata"/>
    <s v="West Bengal"/>
    <s v="East"/>
    <s v="Priya Sen"/>
    <x v="3"/>
    <s v="Tea 500g"/>
    <n v="1"/>
    <n v="293.58999999999997"/>
    <n v="10"/>
    <n v="29.358999999999995"/>
    <n v="264.23"/>
    <n v="210"/>
    <n v="54.23"/>
    <s v="Profit"/>
    <s v="Medium Discount"/>
    <x v="1"/>
    <x v="0"/>
    <n v="4.7"/>
    <s v="High Rating"/>
  </r>
  <r>
    <x v="466"/>
    <x v="187"/>
    <x v="3"/>
    <s v="Jaipur"/>
    <s v="Rajasthan"/>
    <s v="West"/>
    <s v="Rajesh Sharma"/>
    <x v="3"/>
    <s v="Cooking Oil 1L"/>
    <n v="2"/>
    <n v="154.86000000000001"/>
    <n v="15"/>
    <n v="46.457999999999998"/>
    <n v="263.26"/>
    <n v="240"/>
    <n v="23.26"/>
    <s v="Profit"/>
    <s v="High Discount"/>
    <x v="4"/>
    <x v="0"/>
    <n v="4"/>
    <s v="Medium Rating"/>
  </r>
  <r>
    <x v="467"/>
    <x v="188"/>
    <x v="2"/>
    <s v="Bengaluru"/>
    <s v="Karnataka"/>
    <s v="South"/>
    <s v="Vikram Rao"/>
    <x v="3"/>
    <s v="Cooking Oil 1L"/>
    <n v="5"/>
    <n v="152.63"/>
    <n v="5"/>
    <n v="38.157499999999999"/>
    <n v="724.99"/>
    <n v="600"/>
    <n v="124.99"/>
    <s v="Profit"/>
    <s v="Low Discount"/>
    <x v="1"/>
    <x v="0"/>
    <n v="4.0999999999999996"/>
    <s v="Medium Rating"/>
  </r>
  <r>
    <x v="468"/>
    <x v="188"/>
    <x v="2"/>
    <s v="Bengaluru"/>
    <s v="Karnataka"/>
    <s v="South"/>
    <s v="Vikram Rao"/>
    <x v="2"/>
    <s v="Jeans"/>
    <n v="3"/>
    <n v="1809.58"/>
    <n v="10"/>
    <n v="542.87399999999991"/>
    <n v="4885.87"/>
    <n v="3150"/>
    <n v="1735.87"/>
    <s v="Profit"/>
    <s v="Medium Discount"/>
    <x v="3"/>
    <x v="0"/>
    <n v="4.7"/>
    <s v="High Rating"/>
  </r>
  <r>
    <x v="469"/>
    <x v="189"/>
    <x v="7"/>
    <s v="Kolkata"/>
    <s v="West Bengal"/>
    <s v="East"/>
    <s v="Priya Sen"/>
    <x v="1"/>
    <s v="Moisturizer"/>
    <n v="5"/>
    <n v="541.76"/>
    <n v="10"/>
    <n v="270.88"/>
    <n v="2437.92"/>
    <n v="1700"/>
    <n v="737.92"/>
    <s v="Profit"/>
    <s v="Medium Discount"/>
    <x v="1"/>
    <x v="0"/>
    <n v="4.0999999999999996"/>
    <s v="Medium Rating"/>
  </r>
  <r>
    <x v="470"/>
    <x v="189"/>
    <x v="0"/>
    <s v="Delhi"/>
    <s v="Delhi"/>
    <s v="North"/>
    <s v="Amit Verma"/>
    <x v="3"/>
    <s v="Cooking Oil 1L"/>
    <n v="2"/>
    <n v="145.82"/>
    <n v="5"/>
    <n v="14.581999999999999"/>
    <n v="277.06"/>
    <n v="240"/>
    <n v="37.06"/>
    <s v="Profit"/>
    <s v="Low Discount"/>
    <x v="2"/>
    <x v="0"/>
    <n v="3.8"/>
    <s v="Medium Rating"/>
  </r>
  <r>
    <x v="471"/>
    <x v="189"/>
    <x v="5"/>
    <s v="Mumbai"/>
    <s v="Maharashtra"/>
    <s v="West"/>
    <s v="Neha Kapoor"/>
    <x v="1"/>
    <s v="Moisturizer"/>
    <n v="4"/>
    <n v="569.66"/>
    <n v="0"/>
    <n v="0"/>
    <n v="2278.64"/>
    <n v="1360"/>
    <n v="918.64"/>
    <s v="Profit"/>
    <s v="No Discount"/>
    <x v="4"/>
    <x v="0"/>
    <n v="4"/>
    <s v="Medium Rating"/>
  </r>
  <r>
    <x v="472"/>
    <x v="189"/>
    <x v="4"/>
    <s v="Chennai"/>
    <s v="Tamil Nadu"/>
    <s v="South"/>
    <s v="Karthik Iyer"/>
    <x v="1"/>
    <s v="Moisturizer"/>
    <n v="4"/>
    <n v="554.63"/>
    <n v="0"/>
    <n v="0"/>
    <n v="2218.52"/>
    <n v="1360"/>
    <n v="858.52"/>
    <s v="Profit"/>
    <s v="No Discount"/>
    <x v="4"/>
    <x v="0"/>
    <n v="4.9000000000000004"/>
    <s v="High Rating"/>
  </r>
  <r>
    <x v="473"/>
    <x v="190"/>
    <x v="0"/>
    <s v="Delhi"/>
    <s v="Delhi"/>
    <s v="North"/>
    <s v="Amit Verma"/>
    <x v="1"/>
    <s v="Moisturizer"/>
    <n v="4"/>
    <n v="548.35"/>
    <n v="20"/>
    <n v="438.68"/>
    <n v="-1754.72"/>
    <n v="1360"/>
    <n v="-3114.72"/>
    <s v="Loss"/>
    <s v="High Discount"/>
    <x v="1"/>
    <x v="2"/>
    <n v="4.7"/>
    <s v="High Rating"/>
  </r>
  <r>
    <x v="474"/>
    <x v="190"/>
    <x v="0"/>
    <s v="Delhi"/>
    <s v="Delhi"/>
    <s v="North"/>
    <s v="Amit Verma"/>
    <x v="0"/>
    <s v="Laptop"/>
    <n v="3"/>
    <n v="55804.5"/>
    <n v="0"/>
    <n v="0"/>
    <n v="167413.5"/>
    <n v="126000"/>
    <n v="41413.5"/>
    <s v="Profit"/>
    <s v="No Discount"/>
    <x v="4"/>
    <x v="0"/>
    <n v="4"/>
    <s v="Medium Rating"/>
  </r>
  <r>
    <x v="475"/>
    <x v="190"/>
    <x v="6"/>
    <s v="Lucknow"/>
    <s v="Uttar Pradesh"/>
    <s v="North"/>
    <s v="Sanjay Singh"/>
    <x v="3"/>
    <s v="Tea 500g"/>
    <n v="4"/>
    <n v="268.56"/>
    <n v="10"/>
    <n v="107.42399999999999"/>
    <n v="966.82"/>
    <n v="840"/>
    <n v="126.82"/>
    <s v="Profit"/>
    <s v="Medium Discount"/>
    <x v="3"/>
    <x v="0"/>
    <n v="3.1"/>
    <s v="Medium Rating"/>
  </r>
  <r>
    <x v="476"/>
    <x v="191"/>
    <x v="5"/>
    <s v="Mumbai"/>
    <s v="Maharashtra"/>
    <s v="West"/>
    <s v="Neha Kapoor"/>
    <x v="2"/>
    <s v="Jeans"/>
    <n v="6"/>
    <n v="1861.99"/>
    <n v="15"/>
    <n v="1675.7910000000002"/>
    <n v="9496.15"/>
    <n v="6300"/>
    <n v="3196.15"/>
    <s v="Profit"/>
    <s v="High Discount"/>
    <x v="1"/>
    <x v="0"/>
    <n v="4.0999999999999996"/>
    <s v="Medium Rating"/>
  </r>
  <r>
    <x v="477"/>
    <x v="191"/>
    <x v="6"/>
    <s v="Lucknow"/>
    <s v="Uttar Pradesh"/>
    <s v="North"/>
    <s v="Sanjay Singh"/>
    <x v="4"/>
    <s v="Mixer Grinder"/>
    <n v="1"/>
    <n v="3951.28"/>
    <n v="10"/>
    <n v="395.12800000000004"/>
    <n v="3556.15"/>
    <n v="2700"/>
    <n v="856.15"/>
    <s v="Profit"/>
    <s v="Medium Discount"/>
    <x v="1"/>
    <x v="0"/>
    <n v="3.7"/>
    <s v="Medium Rating"/>
  </r>
  <r>
    <x v="478"/>
    <x v="191"/>
    <x v="0"/>
    <s v="Delhi"/>
    <s v="Delhi"/>
    <s v="North"/>
    <s v="Amit Verma"/>
    <x v="4"/>
    <s v="Mixer Grinder"/>
    <n v="6"/>
    <n v="3738.62"/>
    <n v="15"/>
    <n v="3364.7580000000003"/>
    <n v="19066.96"/>
    <n v="16200"/>
    <n v="2866.96"/>
    <s v="Profit"/>
    <s v="High Discount"/>
    <x v="3"/>
    <x v="0"/>
    <n v="4.5999999999999996"/>
    <s v="High Rating"/>
  </r>
  <r>
    <x v="479"/>
    <x v="192"/>
    <x v="4"/>
    <s v="Chennai"/>
    <s v="Tamil Nadu"/>
    <s v="South"/>
    <s v="Karthik Iyer"/>
    <x v="2"/>
    <s v="T-Shirt"/>
    <n v="6"/>
    <n v="900.74"/>
    <n v="20"/>
    <n v="1080.8880000000001"/>
    <n v="4323.55"/>
    <n v="3000"/>
    <n v="1323.55"/>
    <s v="Profit"/>
    <s v="High Discount"/>
    <x v="2"/>
    <x v="0"/>
    <n v="3.2"/>
    <s v="Medium Rating"/>
  </r>
  <r>
    <x v="480"/>
    <x v="192"/>
    <x v="2"/>
    <s v="Bengaluru"/>
    <s v="Karnataka"/>
    <s v="South"/>
    <s v="Vikram Rao"/>
    <x v="1"/>
    <s v="Face Wash"/>
    <n v="1"/>
    <n v="354.81"/>
    <n v="10"/>
    <n v="35.481000000000002"/>
    <n v="319.33"/>
    <n v="220"/>
    <n v="99.33"/>
    <s v="Profit"/>
    <s v="Medium Discount"/>
    <x v="4"/>
    <x v="0"/>
    <n v="3.6"/>
    <s v="Medium Rating"/>
  </r>
  <r>
    <x v="481"/>
    <x v="193"/>
    <x v="1"/>
    <s v="Hyderabad"/>
    <s v="Telangana"/>
    <s v="South"/>
    <s v="Anjali Reddy"/>
    <x v="3"/>
    <s v="Biscuits Pack"/>
    <n v="1"/>
    <n v="96.95"/>
    <n v="15"/>
    <n v="14.5425"/>
    <n v="82.41"/>
    <n v="72"/>
    <n v="10.41"/>
    <s v="Profit"/>
    <s v="High Discount"/>
    <x v="1"/>
    <x v="0"/>
    <n v="4.8"/>
    <s v="High Rating"/>
  </r>
  <r>
    <x v="482"/>
    <x v="193"/>
    <x v="7"/>
    <s v="Kolkata"/>
    <s v="West Bengal"/>
    <s v="East"/>
    <s v="Priya Sen"/>
    <x v="4"/>
    <s v="Dinner Set"/>
    <n v="5"/>
    <n v="2388.7399999999998"/>
    <n v="5"/>
    <n v="597.18499999999995"/>
    <n v="11346.51"/>
    <n v="7750"/>
    <n v="3596.51"/>
    <s v="Profit"/>
    <s v="Low Discount"/>
    <x v="1"/>
    <x v="0"/>
    <n v="4"/>
    <s v="Medium Rating"/>
  </r>
  <r>
    <x v="483"/>
    <x v="194"/>
    <x v="5"/>
    <s v="Mumbai"/>
    <s v="Maharashtra"/>
    <s v="West"/>
    <s v="Neha Kapoor"/>
    <x v="1"/>
    <s v="Perfume"/>
    <n v="3"/>
    <n v="1849.72"/>
    <n v="10"/>
    <n v="554.91599999999994"/>
    <n v="4994.24"/>
    <n v="3150"/>
    <n v="1844.24"/>
    <s v="Profit"/>
    <s v="Medium Discount"/>
    <x v="1"/>
    <x v="0"/>
    <n v="4"/>
    <s v="Medium Rating"/>
  </r>
  <r>
    <x v="484"/>
    <x v="195"/>
    <x v="4"/>
    <s v="Chennai"/>
    <s v="Tamil Nadu"/>
    <s v="South"/>
    <s v="Karthik Iyer"/>
    <x v="2"/>
    <s v="Jeans"/>
    <n v="3"/>
    <n v="1796.13"/>
    <n v="20"/>
    <n v="1077.6780000000001"/>
    <n v="4310.71"/>
    <n v="3150"/>
    <n v="1160.71"/>
    <s v="Profit"/>
    <s v="High Discount"/>
    <x v="4"/>
    <x v="0"/>
    <n v="3.1"/>
    <s v="Medium Rating"/>
  </r>
  <r>
    <x v="485"/>
    <x v="195"/>
    <x v="7"/>
    <s v="Kolkata"/>
    <s v="West Bengal"/>
    <s v="East"/>
    <s v="Priya Sen"/>
    <x v="1"/>
    <s v="Perfume"/>
    <n v="6"/>
    <n v="1766.68"/>
    <n v="0"/>
    <n v="0"/>
    <n v="-10600.08"/>
    <n v="6300"/>
    <n v="-16900.080000000002"/>
    <s v="Loss"/>
    <s v="No Discount"/>
    <x v="1"/>
    <x v="2"/>
    <n v="4.8"/>
    <s v="High Rating"/>
  </r>
  <r>
    <x v="486"/>
    <x v="195"/>
    <x v="4"/>
    <s v="Chennai"/>
    <s v="Tamil Nadu"/>
    <s v="South"/>
    <s v="Karthik Iyer"/>
    <x v="0"/>
    <s v="Smartphone"/>
    <n v="4"/>
    <n v="21402.79"/>
    <n v="5"/>
    <n v="4280.5580000000009"/>
    <n v="81330.600000000006"/>
    <n v="64000"/>
    <n v="17330.599999999999"/>
    <s v="Profit"/>
    <s v="Low Discount"/>
    <x v="3"/>
    <x v="0"/>
    <n v="4.9000000000000004"/>
    <s v="High Rating"/>
  </r>
  <r>
    <x v="487"/>
    <x v="195"/>
    <x v="7"/>
    <s v="Kolkata"/>
    <s v="West Bengal"/>
    <s v="East"/>
    <s v="Priya Sen"/>
    <x v="3"/>
    <s v="Cooking Oil 1L"/>
    <n v="1"/>
    <n v="153.06"/>
    <n v="20"/>
    <n v="30.611999999999998"/>
    <n v="122.45"/>
    <n v="120"/>
    <n v="2.4500000000000002"/>
    <s v="Profit"/>
    <s v="High Discount"/>
    <x v="2"/>
    <x v="0"/>
    <n v="3.2"/>
    <s v="Medium Rating"/>
  </r>
  <r>
    <x v="488"/>
    <x v="196"/>
    <x v="6"/>
    <s v="Lucknow"/>
    <s v="Uttar Pradesh"/>
    <s v="North"/>
    <s v="Sanjay Singh"/>
    <x v="2"/>
    <s v="T-Shirt"/>
    <n v="1"/>
    <n v="856.85"/>
    <n v="20"/>
    <n v="171.37"/>
    <n v="685.48"/>
    <n v="500"/>
    <n v="185.48"/>
    <s v="Profit"/>
    <s v="High Discount"/>
    <x v="0"/>
    <x v="0"/>
    <n v="5"/>
    <s v="High Rating"/>
  </r>
  <r>
    <x v="489"/>
    <x v="196"/>
    <x v="6"/>
    <s v="Lucknow"/>
    <s v="Uttar Pradesh"/>
    <s v="North"/>
    <s v="Sanjay Singh"/>
    <x v="2"/>
    <s v="Jeans"/>
    <n v="1"/>
    <n v="1829.36"/>
    <n v="10"/>
    <n v="182.93599999999998"/>
    <n v="1646.42"/>
    <n v="1050"/>
    <n v="596.41999999999996"/>
    <s v="Profit"/>
    <s v="Medium Discount"/>
    <x v="0"/>
    <x v="0"/>
    <n v="3.9"/>
    <s v="Medium Rating"/>
  </r>
  <r>
    <x v="490"/>
    <x v="197"/>
    <x v="7"/>
    <s v="Kolkata"/>
    <s v="West Bengal"/>
    <s v="East"/>
    <s v="Priya Sen"/>
    <x v="2"/>
    <s v="Sneakers"/>
    <n v="6"/>
    <n v="4001.88"/>
    <n v="10"/>
    <n v="2401.1279999999997"/>
    <n v="21610.15"/>
    <n v="15600"/>
    <n v="6010.15"/>
    <s v="Profit"/>
    <s v="Medium Discount"/>
    <x v="3"/>
    <x v="0"/>
    <n v="3.9"/>
    <s v="Medium Rating"/>
  </r>
  <r>
    <x v="491"/>
    <x v="197"/>
    <x v="6"/>
    <s v="Lucknow"/>
    <s v="Uttar Pradesh"/>
    <s v="North"/>
    <s v="Sanjay Singh"/>
    <x v="0"/>
    <s v="Headphones"/>
    <n v="5"/>
    <n v="1772.17"/>
    <n v="5"/>
    <n v="443.04250000000002"/>
    <n v="8417.81"/>
    <n v="5500"/>
    <n v="2917.81"/>
    <s v="Profit"/>
    <s v="Low Discount"/>
    <x v="3"/>
    <x v="0"/>
    <n v="4"/>
    <s v="Medium Rating"/>
  </r>
  <r>
    <x v="492"/>
    <x v="198"/>
    <x v="1"/>
    <s v="Hyderabad"/>
    <s v="Telangana"/>
    <s v="South"/>
    <s v="Anjali Reddy"/>
    <x v="4"/>
    <s v="Water Bottle"/>
    <n v="1"/>
    <n v="673.85"/>
    <n v="5"/>
    <n v="33.692500000000003"/>
    <n v="640.16"/>
    <n v="400"/>
    <n v="240.16"/>
    <s v="Profit"/>
    <s v="Low Discount"/>
    <x v="2"/>
    <x v="0"/>
    <n v="3.9"/>
    <s v="Medium Rating"/>
  </r>
  <r>
    <x v="493"/>
    <x v="199"/>
    <x v="2"/>
    <s v="Bengaluru"/>
    <s v="Karnataka"/>
    <s v="South"/>
    <s v="Vikram Rao"/>
    <x v="4"/>
    <s v="Water Bottle"/>
    <n v="1"/>
    <n v="685.39"/>
    <n v="5"/>
    <n v="34.269500000000001"/>
    <n v="651.12"/>
    <n v="400"/>
    <n v="251.12"/>
    <s v="Profit"/>
    <s v="Low Discount"/>
    <x v="1"/>
    <x v="0"/>
    <n v="3.6"/>
    <s v="Medium Rating"/>
  </r>
  <r>
    <x v="494"/>
    <x v="199"/>
    <x v="1"/>
    <s v="Hyderabad"/>
    <s v="Telangana"/>
    <s v="South"/>
    <s v="Anjali Reddy"/>
    <x v="0"/>
    <s v="Smartwatch"/>
    <n v="1"/>
    <n v="4332.2299999999996"/>
    <n v="10"/>
    <n v="433.22299999999996"/>
    <n v="3899.01"/>
    <n v="2900"/>
    <n v="999.01"/>
    <s v="Profit"/>
    <s v="Medium Discount"/>
    <x v="1"/>
    <x v="0"/>
    <n v="4.9000000000000004"/>
    <s v="High Rating"/>
  </r>
  <r>
    <x v="495"/>
    <x v="199"/>
    <x v="7"/>
    <s v="Kolkata"/>
    <s v="West Bengal"/>
    <s v="East"/>
    <s v="Priya Sen"/>
    <x v="1"/>
    <s v="Moisturizer"/>
    <n v="4"/>
    <n v="548.16"/>
    <n v="20"/>
    <n v="438.52799999999996"/>
    <n v="1754.11"/>
    <n v="1360"/>
    <n v="394.11"/>
    <s v="Profit"/>
    <s v="High Discount"/>
    <x v="4"/>
    <x v="0"/>
    <n v="3.5"/>
    <s v="Medium Rating"/>
  </r>
  <r>
    <x v="496"/>
    <x v="199"/>
    <x v="2"/>
    <s v="Bengaluru"/>
    <s v="Karnataka"/>
    <s v="South"/>
    <s v="Vikram Rao"/>
    <x v="0"/>
    <s v="Smartwatch"/>
    <n v="3"/>
    <n v="4648.34"/>
    <n v="5"/>
    <n v="697.25100000000009"/>
    <n v="13247.77"/>
    <n v="8700"/>
    <n v="4547.7700000000004"/>
    <s v="Profit"/>
    <s v="Low Discount"/>
    <x v="2"/>
    <x v="0"/>
    <n v="3.2"/>
    <s v="Medium Rating"/>
  </r>
  <r>
    <x v="497"/>
    <x v="199"/>
    <x v="6"/>
    <s v="Lucknow"/>
    <s v="Uttar Pradesh"/>
    <s v="North"/>
    <s v="Sanjay Singh"/>
    <x v="0"/>
    <s v="Smartphone"/>
    <n v="4"/>
    <n v="22979.32"/>
    <n v="0"/>
    <n v="0"/>
    <n v="0"/>
    <n v="64000"/>
    <n v="0"/>
    <s v="Break Even"/>
    <s v="No Discount"/>
    <x v="0"/>
    <x v="1"/>
    <m/>
    <s v="Not Rated"/>
  </r>
  <r>
    <x v="498"/>
    <x v="199"/>
    <x v="6"/>
    <s v="Lucknow"/>
    <s v="Uttar Pradesh"/>
    <s v="North"/>
    <s v="Sanjay Singh"/>
    <x v="1"/>
    <s v="Face Wash"/>
    <n v="4"/>
    <n v="348.91"/>
    <n v="5"/>
    <n v="69.782000000000011"/>
    <n v="1325.86"/>
    <n v="880"/>
    <n v="445.86"/>
    <s v="Profit"/>
    <s v="Low Discount"/>
    <x v="3"/>
    <x v="0"/>
    <n v="3.8"/>
    <s v="Medium Rating"/>
  </r>
  <r>
    <x v="499"/>
    <x v="200"/>
    <x v="2"/>
    <s v="Bengaluru"/>
    <s v="Karnataka"/>
    <s v="South"/>
    <s v="Vikram Rao"/>
    <x v="2"/>
    <s v="Jacket"/>
    <n v="4"/>
    <n v="3121.79"/>
    <n v="5"/>
    <n v="624.35800000000006"/>
    <n v="-11862.8"/>
    <n v="7600"/>
    <n v="-19462.8"/>
    <s v="Loss"/>
    <s v="Low Discount"/>
    <x v="2"/>
    <x v="2"/>
    <n v="3.1"/>
    <s v="Medium Rat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4EBD2-867C-4A3B-9D97-A38B4A78642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A27:D31" firstHeaderRow="0" firstDataRow="1" firstDataCol="1"/>
  <pivotFields count="24">
    <pivotField dataField="1" showAll="0"/>
    <pivotField numFmtId="14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4" showAll="0"/>
    <pivotField numFmtId="2" showAll="0"/>
    <pivotField numFmtId="164" showAll="0"/>
    <pivotField dataField="1" numFmtId="164" showAll="0"/>
    <pivotField numFmtId="164" showAll="0"/>
    <pivotField dataField="1" numFmtId="16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Sum of Sales" fld="13" baseField="0" baseItem="0" numFmtId="164"/>
    <dataField name="Sum of Profit" fld="15" baseField="0" baseItem="0" numFmtId="164"/>
  </dataFields>
  <formats count="11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9" type="button" dataOnly="0" labelOnly="1" outline="0" axis="axisRow" fieldPosition="0"/>
    </format>
    <format dxfId="11">
      <pivotArea dataOnly="0" labelOnly="1" fieldPosition="0">
        <references count="1">
          <reference field="19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collapsedLevelsAreSubtotals="1" fieldPosition="0">
        <references count="1">
          <reference field="19" count="0"/>
        </references>
      </pivotArea>
    </format>
    <format dxfId="7">
      <pivotArea field="19" type="button" dataOnly="0" labelOnly="1" outline="0" axis="axisRow" fieldPosition="0"/>
    </format>
    <format dxfId="6">
      <pivotArea dataOnly="0" labelOnly="1" fieldPosition="0">
        <references count="1">
          <reference field="19" count="0"/>
        </references>
      </pivotArea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2AC70-21B4-443D-A0F7-96A7FECC8FF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J3:M9" firstHeaderRow="0" firstDataRow="1" firstDataCol="1"/>
  <pivotFields count="24">
    <pivotField showAll="0"/>
    <pivotField numFmtId="14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dataField="1" numFmtId="2" showAll="0"/>
    <pivotField numFmtId="164" showAll="0"/>
    <pivotField numFmtId="2" showAll="0"/>
    <pivotField numFmtId="164" showAll="0"/>
    <pivotField dataField="1"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9" baseField="0" baseItem="0" numFmtId="2"/>
    <dataField name="Sum of Sales" fld="13" baseField="0" baseItem="0" numFmtId="164"/>
    <dataField name="Sum of Cost" fld="14" baseField="0" baseItem="0" numFmtId="164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7" type="button" dataOnly="0" labelOnly="1" outline="0" axis="axisRow" fieldPosition="0"/>
    </format>
    <format dxfId="17">
      <pivotArea dataOnly="0" labelOnly="1" fieldPosition="0">
        <references count="1">
          <reference field="7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BE443-5183-4DDF-9BE8-2D9447D345C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C9" firstHeaderRow="0" firstDataRow="1" firstDataCol="1"/>
  <pivotFields count="24">
    <pivotField showAll="0"/>
    <pivotField numFmtId="14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numFmtId="2" showAll="0"/>
    <pivotField numFmtId="164" showAll="0"/>
    <pivotField numFmtId="2" showAll="0"/>
    <pivotField numFmtId="164" showAll="0"/>
    <pivotField dataField="1"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 numFmtId="164"/>
    <dataField name="Sum of Profit" fld="15" baseField="0" baseItem="0" numFmtId="164"/>
  </dataFields>
  <formats count="12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7" type="button" dataOnly="0" labelOnly="1" outline="0" axis="axisRow" fieldPosition="0"/>
    </format>
    <format dxfId="29">
      <pivotArea dataOnly="0" labelOnly="1" fieldPosition="0">
        <references count="1">
          <reference field="7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7" type="button" dataOnly="0" labelOnly="1" outline="0" axis="axisRow" fieldPosition="0"/>
    </format>
    <format dxfId="23">
      <pivotArea dataOnly="0" labelOnly="1" fieldPosition="0">
        <references count="1">
          <reference field="7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7FFF3-7162-4F91-9CF4-E259ADD0F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 Analysis">
  <location ref="J24:M30" firstHeaderRow="0" firstDataRow="1" firstDataCol="1"/>
  <pivotFields count="24">
    <pivotField dataField="1" showAll="0"/>
    <pivotField numFmtId="14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4" showAll="0"/>
    <pivotField numFmtId="2" showAll="0"/>
    <pivotField numFmtId="164" showAll="0"/>
    <pivotField dataField="1" numFmtId="164" showAll="0"/>
    <pivotField numFmtId="164" showAll="0"/>
    <pivotField dataField="1" numFmtId="164"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Sum of Sales" fld="13" baseField="0" baseItem="0" numFmtId="164"/>
    <dataField name="Sum of Profit" fld="15" baseField="0" baseItem="0" numFmtId="164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8" type="button" dataOnly="0" labelOnly="1" outline="0" axis="axisRow" fieldPosition="0"/>
    </format>
    <format dxfId="35">
      <pivotArea dataOnly="0" labelOnly="1" fieldPosition="0">
        <references count="1">
          <reference field="18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AA441-2F56-4FC3-A360-B582654D121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 Name">
  <location ref="E13:H22" firstHeaderRow="0" firstDataRow="1" firstDataCol="1"/>
  <pivotFields count="24">
    <pivotField dataField="1" showAll="0">
      <items count="501">
        <item x="71"/>
        <item x="312"/>
        <item x="0"/>
        <item x="376"/>
        <item x="357"/>
        <item x="173"/>
        <item x="462"/>
        <item x="316"/>
        <item x="473"/>
        <item x="347"/>
        <item x="306"/>
        <item x="251"/>
        <item x="437"/>
        <item x="239"/>
        <item x="481"/>
        <item x="1"/>
        <item x="341"/>
        <item x="323"/>
        <item x="162"/>
        <item x="279"/>
        <item x="474"/>
        <item x="246"/>
        <item x="345"/>
        <item x="36"/>
        <item x="476"/>
        <item x="207"/>
        <item x="158"/>
        <item x="442"/>
        <item x="302"/>
        <item x="113"/>
        <item x="78"/>
        <item x="395"/>
        <item x="136"/>
        <item x="125"/>
        <item x="31"/>
        <item x="377"/>
        <item x="44"/>
        <item x="164"/>
        <item x="87"/>
        <item x="26"/>
        <item x="427"/>
        <item x="18"/>
        <item x="348"/>
        <item x="45"/>
        <item x="389"/>
        <item x="358"/>
        <item x="266"/>
        <item x="303"/>
        <item x="172"/>
        <item x="56"/>
        <item x="88"/>
        <item x="410"/>
        <item x="93"/>
        <item x="451"/>
        <item x="180"/>
        <item x="259"/>
        <item x="190"/>
        <item x="181"/>
        <item x="116"/>
        <item x="366"/>
        <item x="141"/>
        <item x="424"/>
        <item x="374"/>
        <item x="288"/>
        <item x="144"/>
        <item x="186"/>
        <item x="283"/>
        <item x="83"/>
        <item x="392"/>
        <item x="122"/>
        <item x="32"/>
        <item x="200"/>
        <item x="397"/>
        <item x="99"/>
        <item x="27"/>
        <item x="428"/>
        <item x="338"/>
        <item x="47"/>
        <item x="74"/>
        <item x="268"/>
        <item x="479"/>
        <item x="453"/>
        <item x="107"/>
        <item x="396"/>
        <item x="335"/>
        <item x="379"/>
        <item x="28"/>
        <item x="452"/>
        <item x="206"/>
        <item x="445"/>
        <item x="66"/>
        <item x="65"/>
        <item x="412"/>
        <item x="380"/>
        <item x="102"/>
        <item x="208"/>
        <item x="421"/>
        <item x="317"/>
        <item x="438"/>
        <item x="145"/>
        <item x="68"/>
        <item x="493"/>
        <item x="159"/>
        <item x="126"/>
        <item x="222"/>
        <item x="280"/>
        <item x="411"/>
        <item x="95"/>
        <item x="372"/>
        <item x="467"/>
        <item x="187"/>
        <item x="494"/>
        <item x="240"/>
        <item x="449"/>
        <item x="133"/>
        <item x="29"/>
        <item x="90"/>
        <item x="307"/>
        <item x="96"/>
        <item x="75"/>
        <item x="284"/>
        <item x="469"/>
        <item x="227"/>
        <item x="327"/>
        <item x="342"/>
        <item x="69"/>
        <item x="224"/>
        <item x="252"/>
        <item x="188"/>
        <item x="488"/>
        <item x="273"/>
        <item x="100"/>
        <item x="10"/>
        <item x="381"/>
        <item x="231"/>
        <item x="336"/>
        <item x="241"/>
        <item x="2"/>
        <item x="369"/>
        <item x="463"/>
        <item x="404"/>
        <item x="297"/>
        <item x="3"/>
        <item x="298"/>
        <item x="120"/>
        <item x="33"/>
        <item x="103"/>
        <item x="249"/>
        <item x="434"/>
        <item x="86"/>
        <item x="457"/>
        <item x="62"/>
        <item x="432"/>
        <item x="361"/>
        <item x="80"/>
        <item x="260"/>
        <item x="111"/>
        <item x="79"/>
        <item x="11"/>
        <item x="450"/>
        <item x="393"/>
        <item x="313"/>
        <item x="233"/>
        <item x="72"/>
        <item x="253"/>
        <item x="443"/>
        <item x="234"/>
        <item x="321"/>
        <item x="308"/>
        <item x="495"/>
        <item x="382"/>
        <item x="475"/>
        <item x="129"/>
        <item x="483"/>
        <item x="422"/>
        <item x="215"/>
        <item x="349"/>
        <item x="242"/>
        <item x="202"/>
        <item x="477"/>
        <item x="7"/>
        <item x="4"/>
        <item x="271"/>
        <item x="228"/>
        <item x="261"/>
        <item x="331"/>
        <item x="285"/>
        <item x="334"/>
        <item x="304"/>
        <item x="225"/>
        <item x="73"/>
        <item x="322"/>
        <item x="21"/>
        <item x="429"/>
        <item x="247"/>
        <item x="123"/>
        <item x="400"/>
        <item x="359"/>
        <item x="292"/>
        <item x="418"/>
        <item x="464"/>
        <item x="238"/>
        <item x="419"/>
        <item x="332"/>
        <item x="35"/>
        <item x="5"/>
        <item x="439"/>
        <item x="405"/>
        <item x="114"/>
        <item x="195"/>
        <item x="415"/>
        <item x="174"/>
        <item x="57"/>
        <item x="324"/>
        <item x="121"/>
        <item x="67"/>
        <item x="440"/>
        <item x="448"/>
        <item x="191"/>
        <item x="370"/>
        <item x="217"/>
        <item x="289"/>
        <item x="458"/>
        <item x="343"/>
        <item x="152"/>
        <item x="148"/>
        <item x="333"/>
        <item x="165"/>
        <item x="293"/>
        <item x="226"/>
        <item x="97"/>
        <item x="203"/>
        <item x="272"/>
        <item x="461"/>
        <item x="53"/>
        <item x="235"/>
        <item x="179"/>
        <item x="435"/>
        <item x="282"/>
        <item x="48"/>
        <item x="175"/>
        <item x="344"/>
        <item x="455"/>
        <item x="470"/>
        <item x="416"/>
        <item x="81"/>
        <item x="275"/>
        <item x="417"/>
        <item x="387"/>
        <item x="19"/>
        <item x="367"/>
        <item x="490"/>
        <item x="375"/>
        <item x="54"/>
        <item x="339"/>
        <item x="153"/>
        <item x="294"/>
        <item x="94"/>
        <item x="446"/>
        <item x="295"/>
        <item x="216"/>
        <item x="12"/>
        <item x="269"/>
        <item x="139"/>
        <item x="218"/>
        <item x="340"/>
        <item x="256"/>
        <item x="328"/>
        <item x="465"/>
        <item x="182"/>
        <item x="265"/>
        <item x="201"/>
        <item x="466"/>
        <item x="496"/>
        <item x="480"/>
        <item x="51"/>
        <item x="22"/>
        <item x="101"/>
        <item x="98"/>
        <item x="192"/>
        <item x="117"/>
        <item x="184"/>
        <item x="38"/>
        <item x="291"/>
        <item x="454"/>
        <item x="124"/>
        <item x="55"/>
        <item x="58"/>
        <item x="243"/>
        <item x="8"/>
        <item x="115"/>
        <item x="436"/>
        <item x="23"/>
        <item x="154"/>
        <item x="146"/>
        <item x="378"/>
        <item x="478"/>
        <item x="219"/>
        <item x="299"/>
        <item x="262"/>
        <item x="39"/>
        <item x="482"/>
        <item x="257"/>
        <item x="388"/>
        <item x="156"/>
        <item x="420"/>
        <item x="137"/>
        <item x="112"/>
        <item x="325"/>
        <item x="276"/>
        <item x="250"/>
        <item x="204"/>
        <item x="76"/>
        <item x="210"/>
        <item x="337"/>
        <item x="305"/>
        <item x="318"/>
        <item x="13"/>
        <item x="30"/>
        <item x="169"/>
        <item x="91"/>
        <item x="177"/>
        <item x="220"/>
        <item x="373"/>
        <item x="160"/>
        <item x="166"/>
        <item x="383"/>
        <item x="413"/>
        <item x="59"/>
        <item x="286"/>
        <item x="484"/>
        <item x="37"/>
        <item x="281"/>
        <item x="108"/>
        <item x="492"/>
        <item x="390"/>
        <item x="213"/>
        <item x="441"/>
        <item x="209"/>
        <item x="353"/>
        <item x="60"/>
        <item x="386"/>
        <item x="368"/>
        <item x="128"/>
        <item x="185"/>
        <item x="170"/>
        <item x="84"/>
        <item x="408"/>
        <item x="196"/>
        <item x="384"/>
        <item x="255"/>
        <item x="430"/>
        <item x="354"/>
        <item x="118"/>
        <item x="329"/>
        <item x="364"/>
        <item x="20"/>
        <item x="431"/>
        <item x="85"/>
        <item x="167"/>
        <item x="49"/>
        <item x="14"/>
        <item x="15"/>
        <item x="406"/>
        <item x="365"/>
        <item x="232"/>
        <item x="211"/>
        <item x="398"/>
        <item x="254"/>
        <item x="77"/>
        <item x="130"/>
        <item x="189"/>
        <item x="168"/>
        <item x="34"/>
        <item x="362"/>
        <item x="127"/>
        <item x="277"/>
        <item x="221"/>
        <item x="42"/>
        <item x="310"/>
        <item x="161"/>
        <item x="425"/>
        <item x="471"/>
        <item x="355"/>
        <item x="147"/>
        <item x="426"/>
        <item x="346"/>
        <item x="394"/>
        <item x="63"/>
        <item x="403"/>
        <item x="197"/>
        <item x="356"/>
        <item x="485"/>
        <item x="110"/>
        <item x="214"/>
        <item x="319"/>
        <item x="311"/>
        <item x="24"/>
        <item x="423"/>
        <item x="61"/>
        <item x="497"/>
        <item x="149"/>
        <item x="407"/>
        <item x="350"/>
        <item x="296"/>
        <item x="352"/>
        <item x="459"/>
        <item x="263"/>
        <item x="472"/>
        <item x="287"/>
        <item x="223"/>
        <item x="491"/>
        <item x="82"/>
        <item x="150"/>
        <item x="444"/>
        <item x="198"/>
        <item x="46"/>
        <item x="274"/>
        <item x="498"/>
        <item x="399"/>
        <item x="486"/>
        <item x="326"/>
        <item x="40"/>
        <item x="309"/>
        <item x="138"/>
        <item x="194"/>
        <item x="248"/>
        <item x="385"/>
        <item x="205"/>
        <item x="278"/>
        <item x="25"/>
        <item x="178"/>
        <item x="131"/>
        <item x="151"/>
        <item x="105"/>
        <item x="270"/>
        <item x="92"/>
        <item x="89"/>
        <item x="183"/>
        <item x="351"/>
        <item x="52"/>
        <item x="41"/>
        <item x="142"/>
        <item x="157"/>
        <item x="414"/>
        <item x="360"/>
        <item x="193"/>
        <item x="245"/>
        <item x="330"/>
        <item x="447"/>
        <item x="64"/>
        <item x="290"/>
        <item x="314"/>
        <item x="132"/>
        <item x="143"/>
        <item x="212"/>
        <item x="315"/>
        <item x="363"/>
        <item x="109"/>
        <item x="456"/>
        <item x="16"/>
        <item x="6"/>
        <item x="230"/>
        <item x="409"/>
        <item x="489"/>
        <item x="401"/>
        <item x="70"/>
        <item x="300"/>
        <item x="433"/>
        <item x="371"/>
        <item x="119"/>
        <item x="134"/>
        <item x="9"/>
        <item x="391"/>
        <item x="140"/>
        <item x="499"/>
        <item x="468"/>
        <item x="135"/>
        <item x="320"/>
        <item x="236"/>
        <item x="402"/>
        <item x="264"/>
        <item x="258"/>
        <item x="50"/>
        <item x="163"/>
        <item x="17"/>
        <item x="229"/>
        <item x="199"/>
        <item x="460"/>
        <item x="104"/>
        <item x="106"/>
        <item x="155"/>
        <item x="43"/>
        <item x="237"/>
        <item x="244"/>
        <item x="487"/>
        <item x="267"/>
        <item x="176"/>
        <item x="171"/>
        <item x="301"/>
        <item t="default"/>
      </items>
    </pivotField>
    <pivotField numFmtId="14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axis="axisRow" showAll="0">
      <items count="9">
        <item x="2"/>
        <item x="4"/>
        <item x="0"/>
        <item x="1"/>
        <item x="3"/>
        <item x="7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164" showAll="0"/>
    <pivotField numFmtId="2" showAll="0"/>
    <pivotField numFmtId="164" showAll="0"/>
    <pivotField dataField="1"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Sum of Sales" fld="13" baseField="0" baseItem="0" numFmtId="164"/>
    <dataField name="Sum of Profit" fld="15" baseField="0" baseItem="0" numFmtId="164"/>
  </dataFields>
  <formats count="12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2" type="button" dataOnly="0" labelOnly="1" outline="0" axis="axisRow" fieldPosition="0"/>
    </format>
    <format dxfId="41">
      <pivotArea dataOnly="0" labelOnly="1" fieldPosition="0">
        <references count="1">
          <reference field="2" count="0"/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ED08-5918-48AB-98EC-CFB485A20C14}">
  <dimension ref="A1:V501"/>
  <sheetViews>
    <sheetView tabSelected="1" topLeftCell="J1" workbookViewId="0">
      <selection activeCell="M1" sqref="M1:M1048576"/>
    </sheetView>
  </sheetViews>
  <sheetFormatPr defaultRowHeight="14.4" x14ac:dyDescent="0.3"/>
  <cols>
    <col min="1" max="1" width="10.77734375" bestFit="1" customWidth="1"/>
    <col min="2" max="2" width="12.88671875" style="4" bestFit="1" customWidth="1"/>
    <col min="3" max="3" width="17.5546875" style="5" bestFit="1" customWidth="1"/>
    <col min="4" max="4" width="9.77734375" style="5" bestFit="1" customWidth="1"/>
    <col min="5" max="5" width="12.21875" style="5" bestFit="1" customWidth="1"/>
    <col min="6" max="6" width="9" style="5" bestFit="1" customWidth="1"/>
    <col min="7" max="7" width="16.33203125" bestFit="1" customWidth="1"/>
    <col min="8" max="8" width="14.21875" style="5" bestFit="1" customWidth="1"/>
    <col min="9" max="9" width="16" style="5" bestFit="1" customWidth="1"/>
    <col min="10" max="10" width="10.5546875" style="9" bestFit="1" customWidth="1"/>
    <col min="11" max="11" width="11.88671875" style="1" bestFit="1" customWidth="1"/>
    <col min="12" max="12" width="15.88671875" style="9" customWidth="1"/>
    <col min="13" max="13" width="18.109375" style="1" customWidth="1"/>
    <col min="14" max="14" width="17.109375" style="1" customWidth="1"/>
    <col min="15" max="15" width="11.88671875" style="1" bestFit="1" customWidth="1"/>
    <col min="16" max="16" width="12.5546875" style="1" bestFit="1" customWidth="1"/>
    <col min="17" max="17" width="13.77734375" style="64" customWidth="1"/>
    <col min="18" max="18" width="16.44140625" style="64" customWidth="1"/>
    <col min="19" max="19" width="18.6640625" style="5" bestFit="1" customWidth="1"/>
    <col min="20" max="20" width="14.21875" style="5" bestFit="1" customWidth="1"/>
    <col min="21" max="21" width="16.33203125" style="10" customWidth="1"/>
    <col min="22" max="22" width="14.44140625" style="64" customWidth="1"/>
  </cols>
  <sheetData>
    <row r="1" spans="1:22" x14ac:dyDescent="0.3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5" t="s">
        <v>9</v>
      </c>
      <c r="K1" s="16" t="s">
        <v>10</v>
      </c>
      <c r="L1" s="15" t="s">
        <v>11</v>
      </c>
      <c r="M1" s="16" t="s">
        <v>587</v>
      </c>
      <c r="N1" s="16" t="s">
        <v>12</v>
      </c>
      <c r="O1" s="16" t="s">
        <v>13</v>
      </c>
      <c r="P1" s="16" t="s">
        <v>14</v>
      </c>
      <c r="Q1" s="61" t="s">
        <v>586</v>
      </c>
      <c r="R1" s="61" t="s">
        <v>588</v>
      </c>
      <c r="S1" s="13" t="s">
        <v>15</v>
      </c>
      <c r="T1" s="13" t="s">
        <v>16</v>
      </c>
      <c r="U1" s="17" t="s">
        <v>17</v>
      </c>
      <c r="V1" s="74" t="s">
        <v>589</v>
      </c>
    </row>
    <row r="2" spans="1:22" x14ac:dyDescent="0.3">
      <c r="A2" s="18" t="s">
        <v>37</v>
      </c>
      <c r="B2" s="19">
        <v>46023</v>
      </c>
      <c r="C2" s="20" t="s">
        <v>38</v>
      </c>
      <c r="D2" s="20" t="s">
        <v>39</v>
      </c>
      <c r="E2" s="20" t="s">
        <v>39</v>
      </c>
      <c r="F2" s="20" t="s">
        <v>32</v>
      </c>
      <c r="G2" s="20" t="s">
        <v>40</v>
      </c>
      <c r="H2" s="20" t="s">
        <v>41</v>
      </c>
      <c r="I2" s="20" t="s">
        <v>42</v>
      </c>
      <c r="J2" s="21">
        <v>3</v>
      </c>
      <c r="K2" s="22">
        <v>4642.54</v>
      </c>
      <c r="L2" s="21">
        <v>20</v>
      </c>
      <c r="M2" s="22">
        <f>J2*K2*L2/100</f>
        <v>2785.5239999999994</v>
      </c>
      <c r="N2" s="22">
        <v>11142.1</v>
      </c>
      <c r="O2" s="22">
        <v>8700</v>
      </c>
      <c r="P2" s="22">
        <v>2442.1</v>
      </c>
      <c r="Q2" s="62" t="str">
        <f>IF(retail_store_performance_dashbo!$P2&gt;0,"Profit",IF(retail_store_performance_dashbo!$P2&lt;0,"Loss","Break Even"))</f>
        <v>Profit</v>
      </c>
      <c r="R2" s="62" t="str" cm="1">
        <f t="array" ref="R2">_xlfn.IFS(L2=0,"No Discount",L2&lt;=5,"Low Discount",L2&lt;=10,"Medium Discount",L2&lt;=20,"High Discount")</f>
        <v>High Discount</v>
      </c>
      <c r="S2" s="20" t="s">
        <v>43</v>
      </c>
      <c r="T2" s="20" t="s">
        <v>36</v>
      </c>
      <c r="U2" s="23">
        <v>4.8</v>
      </c>
      <c r="V2" s="75" t="str" cm="1">
        <f t="array" ref="V2">_xlfn.IFS(U2=0,"Not Rated",U2&gt;=4.5,"High Rating",U2&gt;=3,"Medium Rating",U2&lt;3,"Low Rating")</f>
        <v>High Rating</v>
      </c>
    </row>
    <row r="3" spans="1:22" x14ac:dyDescent="0.3">
      <c r="A3" s="24" t="s">
        <v>85</v>
      </c>
      <c r="B3" s="25">
        <v>46023</v>
      </c>
      <c r="C3" s="26" t="s">
        <v>61</v>
      </c>
      <c r="D3" s="26" t="s">
        <v>62</v>
      </c>
      <c r="E3" s="26" t="s">
        <v>63</v>
      </c>
      <c r="F3" s="26" t="s">
        <v>22</v>
      </c>
      <c r="G3" s="26" t="s">
        <v>64</v>
      </c>
      <c r="H3" s="26" t="s">
        <v>24</v>
      </c>
      <c r="I3" s="26" t="s">
        <v>34</v>
      </c>
      <c r="J3" s="27">
        <v>5</v>
      </c>
      <c r="K3" s="28">
        <v>1877.79</v>
      </c>
      <c r="L3" s="27">
        <v>0</v>
      </c>
      <c r="M3" s="22">
        <f t="shared" ref="M3:M66" si="0">J3*K3*L3/100</f>
        <v>0</v>
      </c>
      <c r="N3" s="28">
        <v>9388.9500000000007</v>
      </c>
      <c r="O3" s="28">
        <v>5250</v>
      </c>
      <c r="P3" s="28">
        <v>4138.95</v>
      </c>
      <c r="Q3" s="72" t="str">
        <f>IF(retail_store_performance_dashbo!$P3&gt;0,"Profit",IF(retail_store_performance_dashbo!$P3&lt;0,"Loss","Break Even"))</f>
        <v>Profit</v>
      </c>
      <c r="R3" s="62" t="str" cm="1">
        <f t="array" ref="R3">_xlfn.IFS(L3=0,"No Discount",L3&lt;=5,"Low Discount",L3&lt;=10,"Medium Discount",L3&lt;=20,"High Discount")</f>
        <v>No Discount</v>
      </c>
      <c r="S3" s="26" t="s">
        <v>67</v>
      </c>
      <c r="T3" s="26" t="s">
        <v>36</v>
      </c>
      <c r="U3" s="29">
        <v>3.4</v>
      </c>
      <c r="V3" s="75" t="str" cm="1">
        <f t="array" ref="V3">_xlfn.IFS(U3=0,"Not Rated",U3&gt;=4.5,"High Rating",U3&gt;=3,"Medium Rating",U3&lt;3,"Low Rating")</f>
        <v>Medium Rating</v>
      </c>
    </row>
    <row r="4" spans="1:22" x14ac:dyDescent="0.3">
      <c r="A4" s="18" t="s">
        <v>223</v>
      </c>
      <c r="B4" s="19">
        <v>46023</v>
      </c>
      <c r="C4" s="20" t="s">
        <v>146</v>
      </c>
      <c r="D4" s="20" t="s">
        <v>147</v>
      </c>
      <c r="E4" s="20" t="s">
        <v>148</v>
      </c>
      <c r="F4" s="20" t="s">
        <v>22</v>
      </c>
      <c r="G4" s="20" t="s">
        <v>149</v>
      </c>
      <c r="H4" s="20" t="s">
        <v>24</v>
      </c>
      <c r="I4" s="20" t="s">
        <v>66</v>
      </c>
      <c r="J4" s="21">
        <v>5</v>
      </c>
      <c r="K4" s="22">
        <v>541.07000000000005</v>
      </c>
      <c r="L4" s="21">
        <v>10</v>
      </c>
      <c r="M4" s="22">
        <f t="shared" si="0"/>
        <v>270.53500000000003</v>
      </c>
      <c r="N4" s="22">
        <v>2434.8200000000002</v>
      </c>
      <c r="O4" s="22">
        <v>1700</v>
      </c>
      <c r="P4" s="22">
        <v>734.82</v>
      </c>
      <c r="Q4" s="62" t="str">
        <f>IF(retail_store_performance_dashbo!$P4&gt;0,"Profit",IF(retail_store_performance_dashbo!$P4&lt;0,"Loss","Break Even"))</f>
        <v>Profit</v>
      </c>
      <c r="R4" s="62" t="str" cm="1">
        <f t="array" ref="R4">_xlfn.IFS(L4=0,"No Discount",L4&lt;=5,"Low Discount",L4&lt;=10,"Medium Discount",L4&lt;=20,"High Discount")</f>
        <v>Medium Discount</v>
      </c>
      <c r="S4" s="20" t="s">
        <v>67</v>
      </c>
      <c r="T4" s="20" t="s">
        <v>36</v>
      </c>
      <c r="U4" s="23">
        <v>4.9000000000000004</v>
      </c>
      <c r="V4" s="75" t="str" cm="1">
        <f t="array" ref="V4">_xlfn.IFS(U4=0,"Not Rated",U4&gt;=4.5,"High Rating",U4&gt;=3,"Medium Rating",U4&lt;3,"Low Rating")</f>
        <v>High Rating</v>
      </c>
    </row>
    <row r="5" spans="1:22" x14ac:dyDescent="0.3">
      <c r="A5" s="24" t="s">
        <v>228</v>
      </c>
      <c r="B5" s="25">
        <v>46023</v>
      </c>
      <c r="C5" s="26" t="s">
        <v>146</v>
      </c>
      <c r="D5" s="26" t="s">
        <v>147</v>
      </c>
      <c r="E5" s="26" t="s">
        <v>148</v>
      </c>
      <c r="F5" s="26" t="s">
        <v>22</v>
      </c>
      <c r="G5" s="26" t="s">
        <v>149</v>
      </c>
      <c r="H5" s="26" t="s">
        <v>45</v>
      </c>
      <c r="I5" s="26" t="s">
        <v>46</v>
      </c>
      <c r="J5" s="27">
        <v>1</v>
      </c>
      <c r="K5" s="28">
        <v>3064.93</v>
      </c>
      <c r="L5" s="27">
        <v>5</v>
      </c>
      <c r="M5" s="22">
        <f t="shared" si="0"/>
        <v>153.2465</v>
      </c>
      <c r="N5" s="28">
        <v>2911.68</v>
      </c>
      <c r="O5" s="28">
        <v>1900</v>
      </c>
      <c r="P5" s="28">
        <v>1011.68</v>
      </c>
      <c r="Q5" s="72" t="str">
        <f>IF(retail_store_performance_dashbo!$P5&gt;0,"Profit",IF(retail_store_performance_dashbo!$P5&lt;0,"Loss","Break Even"))</f>
        <v>Profit</v>
      </c>
      <c r="R5" s="62" t="str" cm="1">
        <f t="array" ref="R5">_xlfn.IFS(L5=0,"No Discount",L5&lt;=5,"Low Discount",L5&lt;=10,"Medium Discount",L5&lt;=20,"High Discount")</f>
        <v>Low Discount</v>
      </c>
      <c r="S5" s="26" t="s">
        <v>26</v>
      </c>
      <c r="T5" s="26" t="s">
        <v>36</v>
      </c>
      <c r="U5" s="29">
        <v>3.7</v>
      </c>
      <c r="V5" s="75" t="str" cm="1">
        <f t="array" ref="V5">_xlfn.IFS(U5=0,"Not Rated",U5&gt;=4.5,"High Rating",U5&gt;=3,"Medium Rating",U5&lt;3,"Low Rating")</f>
        <v>Medium Rating</v>
      </c>
    </row>
    <row r="6" spans="1:22" x14ac:dyDescent="0.3">
      <c r="A6" s="18" t="s">
        <v>267</v>
      </c>
      <c r="B6" s="19">
        <v>46023</v>
      </c>
      <c r="C6" s="20" t="s">
        <v>51</v>
      </c>
      <c r="D6" s="20" t="s">
        <v>52</v>
      </c>
      <c r="E6" s="20" t="s">
        <v>53</v>
      </c>
      <c r="F6" s="20" t="s">
        <v>54</v>
      </c>
      <c r="G6" s="20" t="s">
        <v>55</v>
      </c>
      <c r="H6" s="20" t="s">
        <v>48</v>
      </c>
      <c r="I6" s="20" t="s">
        <v>113</v>
      </c>
      <c r="J6" s="21">
        <v>2</v>
      </c>
      <c r="K6" s="22">
        <v>148.35</v>
      </c>
      <c r="L6" s="21">
        <v>20</v>
      </c>
      <c r="M6" s="22">
        <f t="shared" si="0"/>
        <v>59.34</v>
      </c>
      <c r="N6" s="22">
        <v>0</v>
      </c>
      <c r="O6" s="22">
        <v>240</v>
      </c>
      <c r="P6" s="22">
        <v>0</v>
      </c>
      <c r="Q6" s="62" t="str">
        <f>IF(retail_store_performance_dashbo!$P6&gt;0,"Profit",IF(retail_store_performance_dashbo!$P6&lt;0,"Loss","Break Even"))</f>
        <v>Break Even</v>
      </c>
      <c r="R6" s="62" t="str" cm="1">
        <f t="array" ref="R6">_xlfn.IFS(L6=0,"No Discount",L6&lt;=5,"Low Discount",L6&lt;=10,"Medium Discount",L6&lt;=20,"High Discount")</f>
        <v>High Discount</v>
      </c>
      <c r="S6" s="20" t="s">
        <v>43</v>
      </c>
      <c r="T6" s="20" t="s">
        <v>83</v>
      </c>
      <c r="U6" s="23">
        <v>0</v>
      </c>
      <c r="V6" s="75" t="str" cm="1">
        <f t="array" ref="V6">_xlfn.IFS(U6=0,"Not Rated",U6&gt;=4.5,"High Rating",U6&gt;=3,"Medium Rating",U6&lt;3,"Low Rating")</f>
        <v>Not Rated</v>
      </c>
    </row>
    <row r="7" spans="1:22" x14ac:dyDescent="0.3">
      <c r="A7" s="24" t="s">
        <v>291</v>
      </c>
      <c r="B7" s="25">
        <v>46023</v>
      </c>
      <c r="C7" s="26" t="s">
        <v>19</v>
      </c>
      <c r="D7" s="26" t="s">
        <v>20</v>
      </c>
      <c r="E7" s="26" t="s">
        <v>21</v>
      </c>
      <c r="F7" s="26" t="s">
        <v>22</v>
      </c>
      <c r="G7" s="26" t="s">
        <v>23</v>
      </c>
      <c r="H7" s="26" t="s">
        <v>41</v>
      </c>
      <c r="I7" s="26" t="s">
        <v>42</v>
      </c>
      <c r="J7" s="27">
        <v>1</v>
      </c>
      <c r="K7" s="28">
        <v>4397.59</v>
      </c>
      <c r="L7" s="27">
        <v>5</v>
      </c>
      <c r="M7" s="22">
        <f t="shared" si="0"/>
        <v>219.87950000000001</v>
      </c>
      <c r="N7" s="28">
        <v>4177.71</v>
      </c>
      <c r="O7" s="28">
        <v>2900</v>
      </c>
      <c r="P7" s="28">
        <v>1277.71</v>
      </c>
      <c r="Q7" s="72" t="str">
        <f>IF(retail_store_performance_dashbo!$P7&gt;0,"Profit",IF(retail_store_performance_dashbo!$P7&lt;0,"Loss","Break Even"))</f>
        <v>Profit</v>
      </c>
      <c r="R7" s="62" t="str" cm="1">
        <f t="array" ref="R7">_xlfn.IFS(L7=0,"No Discount",L7&lt;=5,"Low Discount",L7&lt;=10,"Medium Discount",L7&lt;=20,"High Discount")</f>
        <v>Low Discount</v>
      </c>
      <c r="S7" s="26" t="s">
        <v>67</v>
      </c>
      <c r="T7" s="26" t="s">
        <v>36</v>
      </c>
      <c r="U7" s="29">
        <v>3.5</v>
      </c>
      <c r="V7" s="75" t="str" cm="1">
        <f t="array" ref="V7">_xlfn.IFS(U7=0,"Not Rated",U7&gt;=4.5,"High Rating",U7&gt;=3,"Medium Rating",U7&lt;3,"Low Rating")</f>
        <v>Medium Rating</v>
      </c>
    </row>
    <row r="8" spans="1:22" x14ac:dyDescent="0.3">
      <c r="A8" s="18" t="s">
        <v>547</v>
      </c>
      <c r="B8" s="19">
        <v>46023</v>
      </c>
      <c r="C8" s="20" t="s">
        <v>146</v>
      </c>
      <c r="D8" s="20" t="s">
        <v>147</v>
      </c>
      <c r="E8" s="20" t="s">
        <v>148</v>
      </c>
      <c r="F8" s="20" t="s">
        <v>22</v>
      </c>
      <c r="G8" s="20" t="s">
        <v>149</v>
      </c>
      <c r="H8" s="20" t="s">
        <v>41</v>
      </c>
      <c r="I8" s="20" t="s">
        <v>92</v>
      </c>
      <c r="J8" s="21">
        <v>6</v>
      </c>
      <c r="K8" s="22">
        <v>57315.86</v>
      </c>
      <c r="L8" s="21">
        <v>15</v>
      </c>
      <c r="M8" s="22">
        <f t="shared" si="0"/>
        <v>51584.274000000005</v>
      </c>
      <c r="N8" s="22">
        <v>292310.89</v>
      </c>
      <c r="O8" s="22">
        <v>252000</v>
      </c>
      <c r="P8" s="22">
        <v>40310.89</v>
      </c>
      <c r="Q8" s="62" t="str">
        <f>IF(retail_store_performance_dashbo!$P8&gt;0,"Profit",IF(retail_store_performance_dashbo!$P8&lt;0,"Loss","Break Even"))</f>
        <v>Profit</v>
      </c>
      <c r="R8" s="62" t="str" cm="1">
        <f t="array" ref="R8">_xlfn.IFS(L8=0,"No Discount",L8&lt;=5,"Low Discount",L8&lt;=10,"Medium Discount",L8&lt;=20,"High Discount")</f>
        <v>High Discount</v>
      </c>
      <c r="S8" s="20" t="s">
        <v>26</v>
      </c>
      <c r="T8" s="20" t="s">
        <v>36</v>
      </c>
      <c r="U8" s="23">
        <v>4.5999999999999996</v>
      </c>
      <c r="V8" s="75" t="str" cm="1">
        <f t="array" ref="V8">_xlfn.IFS(U8=0,"Not Rated",U8&gt;=4.5,"High Rating",U8&gt;=3,"Medium Rating",U8&lt;3,"Low Rating")</f>
        <v>High Rating</v>
      </c>
    </row>
    <row r="9" spans="1:22" x14ac:dyDescent="0.3">
      <c r="A9" s="24" t="s">
        <v>266</v>
      </c>
      <c r="B9" s="25">
        <v>46024</v>
      </c>
      <c r="C9" s="26" t="s">
        <v>97</v>
      </c>
      <c r="D9" s="26" t="s">
        <v>98</v>
      </c>
      <c r="E9" s="26" t="s">
        <v>99</v>
      </c>
      <c r="F9" s="26" t="s">
        <v>54</v>
      </c>
      <c r="G9" s="26" t="s">
        <v>100</v>
      </c>
      <c r="H9" s="26" t="s">
        <v>41</v>
      </c>
      <c r="I9" s="26" t="s">
        <v>106</v>
      </c>
      <c r="J9" s="27">
        <v>2</v>
      </c>
      <c r="K9" s="28">
        <v>22025.759999999998</v>
      </c>
      <c r="L9" s="27">
        <v>0</v>
      </c>
      <c r="M9" s="22">
        <f t="shared" si="0"/>
        <v>0</v>
      </c>
      <c r="N9" s="28">
        <v>44051.519999999997</v>
      </c>
      <c r="O9" s="28">
        <v>32000</v>
      </c>
      <c r="P9" s="28">
        <v>12051.52</v>
      </c>
      <c r="Q9" s="72" t="str">
        <f>IF(retail_store_performance_dashbo!$P9&gt;0,"Profit",IF(retail_store_performance_dashbo!$P9&lt;0,"Loss","Break Even"))</f>
        <v>Profit</v>
      </c>
      <c r="R9" s="62" t="str" cm="1">
        <f t="array" ref="R9">_xlfn.IFS(L9=0,"No Discount",L9&lt;=5,"Low Discount",L9&lt;=10,"Medium Discount",L9&lt;=20,"High Discount")</f>
        <v>No Discount</v>
      </c>
      <c r="S9" s="26" t="s">
        <v>35</v>
      </c>
      <c r="T9" s="26" t="s">
        <v>36</v>
      </c>
      <c r="U9" s="29">
        <v>3.6</v>
      </c>
      <c r="V9" s="75" t="str" cm="1">
        <f t="array" ref="V9">_xlfn.IFS(U9=0,"Not Rated",U9&gt;=4.5,"High Rating",U9&gt;=3,"Medium Rating",U9&lt;3,"Low Rating")</f>
        <v>Medium Rating</v>
      </c>
    </row>
    <row r="10" spans="1:22" x14ac:dyDescent="0.3">
      <c r="A10" s="18" t="s">
        <v>375</v>
      </c>
      <c r="B10" s="19">
        <v>46024</v>
      </c>
      <c r="C10" s="20" t="s">
        <v>19</v>
      </c>
      <c r="D10" s="20" t="s">
        <v>20</v>
      </c>
      <c r="E10" s="20" t="s">
        <v>21</v>
      </c>
      <c r="F10" s="20" t="s">
        <v>22</v>
      </c>
      <c r="G10" s="20" t="s">
        <v>23</v>
      </c>
      <c r="H10" s="20" t="s">
        <v>58</v>
      </c>
      <c r="I10" s="20" t="s">
        <v>69</v>
      </c>
      <c r="J10" s="21">
        <v>5</v>
      </c>
      <c r="K10" s="22">
        <v>718.33</v>
      </c>
      <c r="L10" s="21">
        <v>0</v>
      </c>
      <c r="M10" s="22">
        <f t="shared" si="0"/>
        <v>0</v>
      </c>
      <c r="N10" s="22">
        <v>3591.65</v>
      </c>
      <c r="O10" s="22">
        <v>2000</v>
      </c>
      <c r="P10" s="22">
        <v>1591.65</v>
      </c>
      <c r="Q10" s="62" t="str">
        <f>IF(retail_store_performance_dashbo!$P10&gt;0,"Profit",IF(retail_store_performance_dashbo!$P10&lt;0,"Loss","Break Even"))</f>
        <v>Profit</v>
      </c>
      <c r="R10" s="62" t="str" cm="1">
        <f t="array" ref="R10">_xlfn.IFS(L10=0,"No Discount",L10&lt;=5,"Low Discount",L10&lt;=10,"Medium Discount",L10&lt;=20,"High Discount")</f>
        <v>No Discount</v>
      </c>
      <c r="S10" s="20" t="s">
        <v>26</v>
      </c>
      <c r="T10" s="20" t="s">
        <v>36</v>
      </c>
      <c r="U10" s="23">
        <v>4.5</v>
      </c>
      <c r="V10" s="75" t="str" cm="1">
        <f t="array" ref="V10">_xlfn.IFS(U10=0,"Not Rated",U10&gt;=4.5,"High Rating",U10&gt;=3,"Medium Rating",U10&lt;3,"Low Rating")</f>
        <v>High Rating</v>
      </c>
    </row>
    <row r="11" spans="1:22" x14ac:dyDescent="0.3">
      <c r="A11" s="24" t="s">
        <v>558</v>
      </c>
      <c r="B11" s="25">
        <v>46024</v>
      </c>
      <c r="C11" s="26" t="s">
        <v>29</v>
      </c>
      <c r="D11" s="26" t="s">
        <v>30</v>
      </c>
      <c r="E11" s="26" t="s">
        <v>31</v>
      </c>
      <c r="F11" s="26" t="s">
        <v>32</v>
      </c>
      <c r="G11" s="26" t="s">
        <v>33</v>
      </c>
      <c r="H11" s="26" t="s">
        <v>45</v>
      </c>
      <c r="I11" s="26" t="s">
        <v>124</v>
      </c>
      <c r="J11" s="27">
        <v>6</v>
      </c>
      <c r="K11" s="28">
        <v>4196.0200000000004</v>
      </c>
      <c r="L11" s="27">
        <v>20</v>
      </c>
      <c r="M11" s="22">
        <f t="shared" si="0"/>
        <v>5035.2240000000002</v>
      </c>
      <c r="N11" s="28">
        <v>20140.900000000001</v>
      </c>
      <c r="O11" s="28">
        <v>15600</v>
      </c>
      <c r="P11" s="28">
        <v>4540.8999999999996</v>
      </c>
      <c r="Q11" s="72" t="str">
        <f>IF(retail_store_performance_dashbo!$P11&gt;0,"Profit",IF(retail_store_performance_dashbo!$P11&lt;0,"Loss","Break Even"))</f>
        <v>Profit</v>
      </c>
      <c r="R11" s="62" t="str" cm="1">
        <f t="array" ref="R11">_xlfn.IFS(L11=0,"No Discount",L11&lt;=5,"Low Discount",L11&lt;=10,"Medium Discount",L11&lt;=20,"High Discount")</f>
        <v>High Discount</v>
      </c>
      <c r="S11" s="26" t="s">
        <v>26</v>
      </c>
      <c r="T11" s="26" t="s">
        <v>36</v>
      </c>
      <c r="U11" s="29">
        <v>3.9</v>
      </c>
      <c r="V11" s="75" t="str" cm="1">
        <f t="array" ref="V11">_xlfn.IFS(U11=0,"Not Rated",U11&gt;=4.5,"High Rating",U11&gt;=3,"Medium Rating",U11&lt;3,"Low Rating")</f>
        <v>Medium Rating</v>
      </c>
    </row>
    <row r="12" spans="1:22" x14ac:dyDescent="0.3">
      <c r="A12" s="18" t="s">
        <v>218</v>
      </c>
      <c r="B12" s="19">
        <v>46025</v>
      </c>
      <c r="C12" s="20" t="s">
        <v>97</v>
      </c>
      <c r="D12" s="20" t="s">
        <v>98</v>
      </c>
      <c r="E12" s="20" t="s">
        <v>99</v>
      </c>
      <c r="F12" s="20" t="s">
        <v>54</v>
      </c>
      <c r="G12" s="20" t="s">
        <v>100</v>
      </c>
      <c r="H12" s="20" t="s">
        <v>24</v>
      </c>
      <c r="I12" s="20" t="s">
        <v>66</v>
      </c>
      <c r="J12" s="21">
        <v>5</v>
      </c>
      <c r="K12" s="22">
        <v>566.02</v>
      </c>
      <c r="L12" s="21">
        <v>10</v>
      </c>
      <c r="M12" s="22">
        <f t="shared" si="0"/>
        <v>283.01</v>
      </c>
      <c r="N12" s="22">
        <v>2547.09</v>
      </c>
      <c r="O12" s="22">
        <v>1700</v>
      </c>
      <c r="P12" s="22">
        <v>847.09</v>
      </c>
      <c r="Q12" s="62" t="str">
        <f>IF(retail_store_performance_dashbo!$P12&gt;0,"Profit",IF(retail_store_performance_dashbo!$P12&lt;0,"Loss","Break Even"))</f>
        <v>Profit</v>
      </c>
      <c r="R12" s="62" t="str" cm="1">
        <f t="array" ref="R12">_xlfn.IFS(L12=0,"No Discount",L12&lt;=5,"Low Discount",L12&lt;=10,"Medium Discount",L12&lt;=20,"High Discount")</f>
        <v>Medium Discount</v>
      </c>
      <c r="S12" s="20" t="s">
        <v>67</v>
      </c>
      <c r="T12" s="20" t="s">
        <v>36</v>
      </c>
      <c r="U12" s="23">
        <v>3.9</v>
      </c>
      <c r="V12" s="75" t="str" cm="1">
        <f t="array" ref="V12">_xlfn.IFS(U12=0,"Not Rated",U12&gt;=4.5,"High Rating",U12&gt;=3,"Medium Rating",U12&lt;3,"Low Rating")</f>
        <v>Medium Rating</v>
      </c>
    </row>
    <row r="13" spans="1:22" x14ac:dyDescent="0.3">
      <c r="A13" s="24" t="s">
        <v>244</v>
      </c>
      <c r="B13" s="25">
        <v>46025</v>
      </c>
      <c r="C13" s="26" t="s">
        <v>51</v>
      </c>
      <c r="D13" s="26" t="s">
        <v>52</v>
      </c>
      <c r="E13" s="26" t="s">
        <v>53</v>
      </c>
      <c r="F13" s="26" t="s">
        <v>54</v>
      </c>
      <c r="G13" s="26" t="s">
        <v>55</v>
      </c>
      <c r="H13" s="26" t="s">
        <v>48</v>
      </c>
      <c r="I13" s="26" t="s">
        <v>49</v>
      </c>
      <c r="J13" s="27">
        <v>2</v>
      </c>
      <c r="K13" s="28">
        <v>266.77999999999997</v>
      </c>
      <c r="L13" s="27">
        <v>10</v>
      </c>
      <c r="M13" s="22">
        <f t="shared" si="0"/>
        <v>53.355999999999995</v>
      </c>
      <c r="N13" s="28">
        <v>480.2</v>
      </c>
      <c r="O13" s="28">
        <v>420</v>
      </c>
      <c r="P13" s="28">
        <v>60.2</v>
      </c>
      <c r="Q13" s="72" t="str">
        <f>IF(retail_store_performance_dashbo!$P13&gt;0,"Profit",IF(retail_store_performance_dashbo!$P13&lt;0,"Loss","Break Even"))</f>
        <v>Profit</v>
      </c>
      <c r="R13" s="62" t="str" cm="1">
        <f t="array" ref="R13">_xlfn.IFS(L13=0,"No Discount",L13&lt;=5,"Low Discount",L13&lt;=10,"Medium Discount",L13&lt;=20,"High Discount")</f>
        <v>Medium Discount</v>
      </c>
      <c r="S13" s="26" t="s">
        <v>26</v>
      </c>
      <c r="T13" s="26" t="s">
        <v>36</v>
      </c>
      <c r="U13" s="29">
        <v>4</v>
      </c>
      <c r="V13" s="75" t="str" cm="1">
        <f t="array" ref="V13">_xlfn.IFS(U13=0,"Not Rated",U13&gt;=4.5,"High Rating",U13&gt;=3,"Medium Rating",U13&lt;3,"Low Rating")</f>
        <v>Medium Rating</v>
      </c>
    </row>
    <row r="14" spans="1:22" x14ac:dyDescent="0.3">
      <c r="A14" s="18" t="s">
        <v>347</v>
      </c>
      <c r="B14" s="19">
        <v>46025</v>
      </c>
      <c r="C14" s="20" t="s">
        <v>19</v>
      </c>
      <c r="D14" s="20" t="s">
        <v>20</v>
      </c>
      <c r="E14" s="20" t="s">
        <v>21</v>
      </c>
      <c r="F14" s="20" t="s">
        <v>22</v>
      </c>
      <c r="G14" s="20" t="s">
        <v>23</v>
      </c>
      <c r="H14" s="20" t="s">
        <v>48</v>
      </c>
      <c r="I14" s="20" t="s">
        <v>56</v>
      </c>
      <c r="J14" s="21">
        <v>3</v>
      </c>
      <c r="K14" s="22">
        <v>101.41</v>
      </c>
      <c r="L14" s="21">
        <v>5</v>
      </c>
      <c r="M14" s="22">
        <f t="shared" si="0"/>
        <v>15.211500000000001</v>
      </c>
      <c r="N14" s="22">
        <v>-289.02</v>
      </c>
      <c r="O14" s="22">
        <v>216</v>
      </c>
      <c r="P14" s="22">
        <v>-505.02</v>
      </c>
      <c r="Q14" s="62" t="str">
        <f>IF(retail_store_performance_dashbo!$P14&gt;0,"Profit",IF(retail_store_performance_dashbo!$P14&lt;0,"Loss","Break Even"))</f>
        <v>Loss</v>
      </c>
      <c r="R14" s="62" t="str" cm="1">
        <f t="array" ref="R14">_xlfn.IFS(L14=0,"No Discount",L14&lt;=5,"Low Discount",L14&lt;=10,"Medium Discount",L14&lt;=20,"High Discount")</f>
        <v>Low Discount</v>
      </c>
      <c r="S14" s="20" t="s">
        <v>43</v>
      </c>
      <c r="T14" s="20" t="s">
        <v>27</v>
      </c>
      <c r="U14" s="23">
        <v>4.5</v>
      </c>
      <c r="V14" s="75" t="str" cm="1">
        <f t="array" ref="V14">_xlfn.IFS(U14=0,"Not Rated",U14&gt;=4.5,"High Rating",U14&gt;=3,"Medium Rating",U14&lt;3,"Low Rating")</f>
        <v>High Rating</v>
      </c>
    </row>
    <row r="15" spans="1:22" x14ac:dyDescent="0.3">
      <c r="A15" s="24" t="s">
        <v>403</v>
      </c>
      <c r="B15" s="25">
        <v>46025</v>
      </c>
      <c r="C15" s="26" t="s">
        <v>51</v>
      </c>
      <c r="D15" s="26" t="s">
        <v>52</v>
      </c>
      <c r="E15" s="26" t="s">
        <v>53</v>
      </c>
      <c r="F15" s="26" t="s">
        <v>54</v>
      </c>
      <c r="G15" s="26" t="s">
        <v>55</v>
      </c>
      <c r="H15" s="26" t="s">
        <v>48</v>
      </c>
      <c r="I15" s="26" t="s">
        <v>109</v>
      </c>
      <c r="J15" s="27">
        <v>4</v>
      </c>
      <c r="K15" s="28">
        <v>624.91</v>
      </c>
      <c r="L15" s="27">
        <v>10</v>
      </c>
      <c r="M15" s="22">
        <f t="shared" si="0"/>
        <v>249.96399999999997</v>
      </c>
      <c r="N15" s="28">
        <v>2249.6799999999998</v>
      </c>
      <c r="O15" s="28">
        <v>2040</v>
      </c>
      <c r="P15" s="28">
        <v>209.68</v>
      </c>
      <c r="Q15" s="72" t="str">
        <f>IF(retail_store_performance_dashbo!$P15&gt;0,"Profit",IF(retail_store_performance_dashbo!$P15&lt;0,"Loss","Break Even"))</f>
        <v>Profit</v>
      </c>
      <c r="R15" s="62" t="str" cm="1">
        <f t="array" ref="R15">_xlfn.IFS(L15=0,"No Discount",L15&lt;=5,"Low Discount",L15&lt;=10,"Medium Discount",L15&lt;=20,"High Discount")</f>
        <v>Medium Discount</v>
      </c>
      <c r="S15" s="26" t="s">
        <v>26</v>
      </c>
      <c r="T15" s="26" t="s">
        <v>36</v>
      </c>
      <c r="U15" s="29">
        <v>4.5</v>
      </c>
      <c r="V15" s="75" t="str" cm="1">
        <f t="array" ref="V15">_xlfn.IFS(U15=0,"Not Rated",U15&gt;=4.5,"High Rating",U15&gt;=3,"Medium Rating",U15&lt;3,"Low Rating")</f>
        <v>High Rating</v>
      </c>
    </row>
    <row r="16" spans="1:22" x14ac:dyDescent="0.3">
      <c r="A16" s="18" t="s">
        <v>447</v>
      </c>
      <c r="B16" s="19">
        <v>46026</v>
      </c>
      <c r="C16" s="20" t="s">
        <v>51</v>
      </c>
      <c r="D16" s="20" t="s">
        <v>52</v>
      </c>
      <c r="E16" s="20" t="s">
        <v>53</v>
      </c>
      <c r="F16" s="20" t="s">
        <v>54</v>
      </c>
      <c r="G16" s="20" t="s">
        <v>55</v>
      </c>
      <c r="H16" s="20" t="s">
        <v>41</v>
      </c>
      <c r="I16" s="20" t="s">
        <v>42</v>
      </c>
      <c r="J16" s="21">
        <v>3</v>
      </c>
      <c r="K16" s="22">
        <v>4585.26</v>
      </c>
      <c r="L16" s="21">
        <v>20</v>
      </c>
      <c r="M16" s="22">
        <f t="shared" si="0"/>
        <v>2751.1560000000004</v>
      </c>
      <c r="N16" s="22">
        <v>11004.62</v>
      </c>
      <c r="O16" s="22">
        <v>8700</v>
      </c>
      <c r="P16" s="22">
        <v>2304.62</v>
      </c>
      <c r="Q16" s="62" t="str">
        <f>IF(retail_store_performance_dashbo!$P16&gt;0,"Profit",IF(retail_store_performance_dashbo!$P16&lt;0,"Loss","Break Even"))</f>
        <v>Profit</v>
      </c>
      <c r="R16" s="62" t="str" cm="1">
        <f t="array" ref="R16">_xlfn.IFS(L16=0,"No Discount",L16&lt;=5,"Low Discount",L16&lt;=10,"Medium Discount",L16&lt;=20,"High Discount")</f>
        <v>High Discount</v>
      </c>
      <c r="S16" s="20" t="s">
        <v>67</v>
      </c>
      <c r="T16" s="20" t="s">
        <v>36</v>
      </c>
      <c r="U16" s="23">
        <v>5</v>
      </c>
      <c r="V16" s="75" t="str" cm="1">
        <f t="array" ref="V16">_xlfn.IFS(U16=0,"Not Rated",U16&gt;=4.5,"High Rating",U16&gt;=3,"Medium Rating",U16&lt;3,"Low Rating")</f>
        <v>High Rating</v>
      </c>
    </row>
    <row r="17" spans="1:22" x14ac:dyDescent="0.3">
      <c r="A17" s="24" t="s">
        <v>448</v>
      </c>
      <c r="B17" s="25">
        <v>46026</v>
      </c>
      <c r="C17" s="26" t="s">
        <v>38</v>
      </c>
      <c r="D17" s="26" t="s">
        <v>39</v>
      </c>
      <c r="E17" s="26" t="s">
        <v>39</v>
      </c>
      <c r="F17" s="26" t="s">
        <v>32</v>
      </c>
      <c r="G17" s="26" t="s">
        <v>40</v>
      </c>
      <c r="H17" s="26" t="s">
        <v>58</v>
      </c>
      <c r="I17" s="26" t="s">
        <v>82</v>
      </c>
      <c r="J17" s="27">
        <v>2</v>
      </c>
      <c r="K17" s="28">
        <v>2495.59</v>
      </c>
      <c r="L17" s="27">
        <v>0</v>
      </c>
      <c r="M17" s="22">
        <f t="shared" si="0"/>
        <v>0</v>
      </c>
      <c r="N17" s="28">
        <v>4991.18</v>
      </c>
      <c r="O17" s="28">
        <v>3100</v>
      </c>
      <c r="P17" s="28">
        <v>1891.18</v>
      </c>
      <c r="Q17" s="72" t="str">
        <f>IF(retail_store_performance_dashbo!$P17&gt;0,"Profit",IF(retail_store_performance_dashbo!$P17&lt;0,"Loss","Break Even"))</f>
        <v>Profit</v>
      </c>
      <c r="R17" s="62" t="str" cm="1">
        <f t="array" ref="R17">_xlfn.IFS(L17=0,"No Discount",L17&lt;=5,"Low Discount",L17&lt;=10,"Medium Discount",L17&lt;=20,"High Discount")</f>
        <v>No Discount</v>
      </c>
      <c r="S17" s="26" t="s">
        <v>70</v>
      </c>
      <c r="T17" s="26" t="s">
        <v>36</v>
      </c>
      <c r="U17" s="29">
        <v>3.3</v>
      </c>
      <c r="V17" s="75" t="str" cm="1">
        <f t="array" ref="V17">_xlfn.IFS(U17=0,"Not Rated",U17&gt;=4.5,"High Rating",U17&gt;=3,"Medium Rating",U17&lt;3,"Low Rating")</f>
        <v>Medium Rating</v>
      </c>
    </row>
    <row r="18" spans="1:22" x14ac:dyDescent="0.3">
      <c r="A18" s="18" t="s">
        <v>546</v>
      </c>
      <c r="B18" s="19">
        <v>46026</v>
      </c>
      <c r="C18" s="20" t="s">
        <v>61</v>
      </c>
      <c r="D18" s="20" t="s">
        <v>62</v>
      </c>
      <c r="E18" s="20" t="s">
        <v>63</v>
      </c>
      <c r="F18" s="20" t="s">
        <v>22</v>
      </c>
      <c r="G18" s="20" t="s">
        <v>64</v>
      </c>
      <c r="H18" s="20" t="s">
        <v>41</v>
      </c>
      <c r="I18" s="20" t="s">
        <v>42</v>
      </c>
      <c r="J18" s="21">
        <v>1</v>
      </c>
      <c r="K18" s="22">
        <v>4303.6099999999997</v>
      </c>
      <c r="L18" s="21">
        <v>5</v>
      </c>
      <c r="M18" s="22">
        <f t="shared" si="0"/>
        <v>215.18049999999999</v>
      </c>
      <c r="N18" s="22">
        <v>4088.43</v>
      </c>
      <c r="O18" s="22">
        <v>2900</v>
      </c>
      <c r="P18" s="22">
        <v>1188.43</v>
      </c>
      <c r="Q18" s="62" t="str">
        <f>IF(retail_store_performance_dashbo!$P18&gt;0,"Profit",IF(retail_store_performance_dashbo!$P18&lt;0,"Loss","Break Even"))</f>
        <v>Profit</v>
      </c>
      <c r="R18" s="62" t="str" cm="1">
        <f t="array" ref="R18">_xlfn.IFS(L18=0,"No Discount",L18&lt;=5,"Low Discount",L18&lt;=10,"Medium Discount",L18&lt;=20,"High Discount")</f>
        <v>Low Discount</v>
      </c>
      <c r="S18" s="20" t="s">
        <v>43</v>
      </c>
      <c r="T18" s="20" t="s">
        <v>36</v>
      </c>
      <c r="U18" s="23">
        <v>4.8</v>
      </c>
      <c r="V18" s="75" t="str" cm="1">
        <f t="array" ref="V18">_xlfn.IFS(U18=0,"Not Rated",U18&gt;=4.5,"High Rating",U18&gt;=3,"Medium Rating",U18&lt;3,"Low Rating")</f>
        <v>High Rating</v>
      </c>
    </row>
    <row r="19" spans="1:22" x14ac:dyDescent="0.3">
      <c r="A19" s="24" t="s">
        <v>571</v>
      </c>
      <c r="B19" s="25">
        <v>46026</v>
      </c>
      <c r="C19" s="26" t="s">
        <v>29</v>
      </c>
      <c r="D19" s="26" t="s">
        <v>30</v>
      </c>
      <c r="E19" s="26" t="s">
        <v>31</v>
      </c>
      <c r="F19" s="26" t="s">
        <v>32</v>
      </c>
      <c r="G19" s="26" t="s">
        <v>33</v>
      </c>
      <c r="H19" s="26" t="s">
        <v>41</v>
      </c>
      <c r="I19" s="26" t="s">
        <v>135</v>
      </c>
      <c r="J19" s="27">
        <v>5</v>
      </c>
      <c r="K19" s="28">
        <v>1792.94</v>
      </c>
      <c r="L19" s="27">
        <v>10</v>
      </c>
      <c r="M19" s="22">
        <f t="shared" si="0"/>
        <v>896.47</v>
      </c>
      <c r="N19" s="28">
        <v>8068.23</v>
      </c>
      <c r="O19" s="28">
        <v>5500</v>
      </c>
      <c r="P19" s="28">
        <v>2568.23</v>
      </c>
      <c r="Q19" s="72" t="str">
        <f>IF(retail_store_performance_dashbo!$P19&gt;0,"Profit",IF(retail_store_performance_dashbo!$P19&lt;0,"Loss","Break Even"))</f>
        <v>Profit</v>
      </c>
      <c r="R19" s="62" t="str" cm="1">
        <f t="array" ref="R19">_xlfn.IFS(L19=0,"No Discount",L19&lt;=5,"Low Discount",L19&lt;=10,"Medium Discount",L19&lt;=20,"High Discount")</f>
        <v>Medium Discount</v>
      </c>
      <c r="S19" s="26" t="s">
        <v>26</v>
      </c>
      <c r="T19" s="26" t="s">
        <v>36</v>
      </c>
      <c r="U19" s="29">
        <v>3.1</v>
      </c>
      <c r="V19" s="75" t="str" cm="1">
        <f t="array" ref="V19">_xlfn.IFS(U19=0,"Not Rated",U19&gt;=4.5,"High Rating",U19&gt;=3,"Medium Rating",U19&lt;3,"Low Rating")</f>
        <v>Medium Rating</v>
      </c>
    </row>
    <row r="20" spans="1:22" x14ac:dyDescent="0.3">
      <c r="A20" s="18" t="s">
        <v>121</v>
      </c>
      <c r="B20" s="19">
        <v>46028</v>
      </c>
      <c r="C20" s="20" t="s">
        <v>51</v>
      </c>
      <c r="D20" s="20" t="s">
        <v>52</v>
      </c>
      <c r="E20" s="20" t="s">
        <v>53</v>
      </c>
      <c r="F20" s="20" t="s">
        <v>54</v>
      </c>
      <c r="G20" s="20" t="s">
        <v>55</v>
      </c>
      <c r="H20" s="20" t="s">
        <v>48</v>
      </c>
      <c r="I20" s="20" t="s">
        <v>109</v>
      </c>
      <c r="J20" s="21">
        <v>5</v>
      </c>
      <c r="K20" s="22">
        <v>648.62</v>
      </c>
      <c r="L20" s="21">
        <v>10</v>
      </c>
      <c r="M20" s="22">
        <f t="shared" si="0"/>
        <v>324.31</v>
      </c>
      <c r="N20" s="22">
        <v>0</v>
      </c>
      <c r="O20" s="22">
        <v>2550</v>
      </c>
      <c r="P20" s="22">
        <v>0</v>
      </c>
      <c r="Q20" s="62" t="str">
        <f>IF(retail_store_performance_dashbo!$P20&gt;0,"Profit",IF(retail_store_performance_dashbo!$P20&lt;0,"Loss","Break Even"))</f>
        <v>Break Even</v>
      </c>
      <c r="R20" s="62" t="str" cm="1">
        <f t="array" ref="R20">_xlfn.IFS(L20=0,"No Discount",L20&lt;=5,"Low Discount",L20&lt;=10,"Medium Discount",L20&lt;=20,"High Discount")</f>
        <v>Medium Discount</v>
      </c>
      <c r="S20" s="20" t="s">
        <v>35</v>
      </c>
      <c r="T20" s="20" t="s">
        <v>83</v>
      </c>
      <c r="U20" s="23">
        <v>0</v>
      </c>
      <c r="V20" s="75" t="str" cm="1">
        <f t="array" ref="V20">_xlfn.IFS(U20=0,"Not Rated",U20&gt;=4.5,"High Rating",U20&gt;=3,"Medium Rating",U20&lt;3,"Low Rating")</f>
        <v>Not Rated</v>
      </c>
    </row>
    <row r="21" spans="1:22" x14ac:dyDescent="0.3">
      <c r="A21" s="24" t="s">
        <v>335</v>
      </c>
      <c r="B21" s="25">
        <v>46028</v>
      </c>
      <c r="C21" s="26" t="s">
        <v>29</v>
      </c>
      <c r="D21" s="26" t="s">
        <v>30</v>
      </c>
      <c r="E21" s="26" t="s">
        <v>31</v>
      </c>
      <c r="F21" s="26" t="s">
        <v>32</v>
      </c>
      <c r="G21" s="26" t="s">
        <v>33</v>
      </c>
      <c r="H21" s="26" t="s">
        <v>24</v>
      </c>
      <c r="I21" s="26" t="s">
        <v>34</v>
      </c>
      <c r="J21" s="27">
        <v>6</v>
      </c>
      <c r="K21" s="28">
        <v>1761.59</v>
      </c>
      <c r="L21" s="27">
        <v>15</v>
      </c>
      <c r="M21" s="22">
        <f t="shared" si="0"/>
        <v>1585.4309999999998</v>
      </c>
      <c r="N21" s="28">
        <v>8984.11</v>
      </c>
      <c r="O21" s="28">
        <v>6300</v>
      </c>
      <c r="P21" s="28">
        <v>2684.11</v>
      </c>
      <c r="Q21" s="72" t="str">
        <f>IF(retail_store_performance_dashbo!$P21&gt;0,"Profit",IF(retail_store_performance_dashbo!$P21&lt;0,"Loss","Break Even"))</f>
        <v>Profit</v>
      </c>
      <c r="R21" s="62" t="str" cm="1">
        <f t="array" ref="R21">_xlfn.IFS(L21=0,"No Discount",L21&lt;=5,"Low Discount",L21&lt;=10,"Medium Discount",L21&lt;=20,"High Discount")</f>
        <v>High Discount</v>
      </c>
      <c r="S21" s="26" t="s">
        <v>26</v>
      </c>
      <c r="T21" s="26" t="s">
        <v>36</v>
      </c>
      <c r="U21" s="29">
        <v>4.3</v>
      </c>
      <c r="V21" s="75" t="str" cm="1">
        <f t="array" ref="V21">_xlfn.IFS(U21=0,"Not Rated",U21&gt;=4.5,"High Rating",U21&gt;=3,"Medium Rating",U21&lt;3,"Low Rating")</f>
        <v>Medium Rating</v>
      </c>
    </row>
    <row r="22" spans="1:22" x14ac:dyDescent="0.3">
      <c r="A22" s="18" t="s">
        <v>442</v>
      </c>
      <c r="B22" s="19">
        <v>46028</v>
      </c>
      <c r="C22" s="20" t="s">
        <v>19</v>
      </c>
      <c r="D22" s="20" t="s">
        <v>20</v>
      </c>
      <c r="E22" s="20" t="s">
        <v>21</v>
      </c>
      <c r="F22" s="20" t="s">
        <v>22</v>
      </c>
      <c r="G22" s="20" t="s">
        <v>23</v>
      </c>
      <c r="H22" s="20" t="s">
        <v>45</v>
      </c>
      <c r="I22" s="20" t="s">
        <v>124</v>
      </c>
      <c r="J22" s="21">
        <v>3</v>
      </c>
      <c r="K22" s="22">
        <v>4361.74</v>
      </c>
      <c r="L22" s="21">
        <v>0</v>
      </c>
      <c r="M22" s="22">
        <f t="shared" si="0"/>
        <v>0</v>
      </c>
      <c r="N22" s="22">
        <v>13085.22</v>
      </c>
      <c r="O22" s="22">
        <v>7800</v>
      </c>
      <c r="P22" s="22">
        <v>5285.22</v>
      </c>
      <c r="Q22" s="62" t="str">
        <f>IF(retail_store_performance_dashbo!$P22&gt;0,"Profit",IF(retail_store_performance_dashbo!$P22&lt;0,"Loss","Break Even"))</f>
        <v>Profit</v>
      </c>
      <c r="R22" s="62" t="str" cm="1">
        <f t="array" ref="R22">_xlfn.IFS(L22=0,"No Discount",L22&lt;=5,"Low Discount",L22&lt;=10,"Medium Discount",L22&lt;=20,"High Discount")</f>
        <v>No Discount</v>
      </c>
      <c r="S22" s="20" t="s">
        <v>26</v>
      </c>
      <c r="T22" s="20" t="s">
        <v>36</v>
      </c>
      <c r="U22" s="23">
        <v>3.2</v>
      </c>
      <c r="V22" s="75" t="str" cm="1">
        <f t="array" ref="V22">_xlfn.IFS(U22=0,"Not Rated",U22&gt;=4.5,"High Rating",U22&gt;=3,"Medium Rating",U22&lt;3,"Low Rating")</f>
        <v>Medium Rating</v>
      </c>
    </row>
    <row r="23" spans="1:22" x14ac:dyDescent="0.3">
      <c r="A23" s="24" t="s">
        <v>278</v>
      </c>
      <c r="B23" s="25">
        <v>46029</v>
      </c>
      <c r="C23" s="26" t="s">
        <v>77</v>
      </c>
      <c r="D23" s="26" t="s">
        <v>78</v>
      </c>
      <c r="E23" s="26" t="s">
        <v>79</v>
      </c>
      <c r="F23" s="26" t="s">
        <v>80</v>
      </c>
      <c r="G23" s="26" t="s">
        <v>81</v>
      </c>
      <c r="H23" s="26" t="s">
        <v>45</v>
      </c>
      <c r="I23" s="26" t="s">
        <v>88</v>
      </c>
      <c r="J23" s="27">
        <v>4</v>
      </c>
      <c r="K23" s="28">
        <v>869.68</v>
      </c>
      <c r="L23" s="27">
        <v>5</v>
      </c>
      <c r="M23" s="22">
        <f t="shared" si="0"/>
        <v>173.93599999999998</v>
      </c>
      <c r="N23" s="28">
        <v>0</v>
      </c>
      <c r="O23" s="28">
        <v>2000</v>
      </c>
      <c r="P23" s="28">
        <v>0</v>
      </c>
      <c r="Q23" s="72" t="str">
        <f>IF(retail_store_performance_dashbo!$P23&gt;0,"Profit",IF(retail_store_performance_dashbo!$P23&lt;0,"Loss","Break Even"))</f>
        <v>Break Even</v>
      </c>
      <c r="R23" s="62" t="str" cm="1">
        <f t="array" ref="R23">_xlfn.IFS(L23=0,"No Discount",L23&lt;=5,"Low Discount",L23&lt;=10,"Medium Discount",L23&lt;=20,"High Discount")</f>
        <v>Low Discount</v>
      </c>
      <c r="S23" s="26" t="s">
        <v>67</v>
      </c>
      <c r="T23" s="26" t="s">
        <v>83</v>
      </c>
      <c r="U23" s="29">
        <v>0</v>
      </c>
      <c r="V23" s="75" t="str" cm="1">
        <f t="array" ref="V23">_xlfn.IFS(U23=0,"Not Rated",U23&gt;=4.5,"High Rating",U23&gt;=3,"Medium Rating",U23&lt;3,"Low Rating")</f>
        <v>Not Rated</v>
      </c>
    </row>
    <row r="24" spans="1:22" x14ac:dyDescent="0.3">
      <c r="A24" s="18" t="s">
        <v>362</v>
      </c>
      <c r="B24" s="19">
        <v>46029</v>
      </c>
      <c r="C24" s="20" t="s">
        <v>77</v>
      </c>
      <c r="D24" s="20" t="s">
        <v>78</v>
      </c>
      <c r="E24" s="20" t="s">
        <v>79</v>
      </c>
      <c r="F24" s="20" t="s">
        <v>80</v>
      </c>
      <c r="G24" s="20" t="s">
        <v>81</v>
      </c>
      <c r="H24" s="20" t="s">
        <v>45</v>
      </c>
      <c r="I24" s="20" t="s">
        <v>88</v>
      </c>
      <c r="J24" s="21">
        <v>4</v>
      </c>
      <c r="K24" s="22">
        <v>888.2</v>
      </c>
      <c r="L24" s="21">
        <v>0</v>
      </c>
      <c r="M24" s="22">
        <f t="shared" si="0"/>
        <v>0</v>
      </c>
      <c r="N24" s="22">
        <v>3552.8</v>
      </c>
      <c r="O24" s="22">
        <v>2000</v>
      </c>
      <c r="P24" s="22">
        <v>1552.8</v>
      </c>
      <c r="Q24" s="62" t="str">
        <f>IF(retail_store_performance_dashbo!$P24&gt;0,"Profit",IF(retail_store_performance_dashbo!$P24&lt;0,"Loss","Break Even"))</f>
        <v>Profit</v>
      </c>
      <c r="R24" s="62" t="str" cm="1">
        <f t="array" ref="R24">_xlfn.IFS(L24=0,"No Discount",L24&lt;=5,"Low Discount",L24&lt;=10,"Medium Discount",L24&lt;=20,"High Discount")</f>
        <v>No Discount</v>
      </c>
      <c r="S24" s="20" t="s">
        <v>43</v>
      </c>
      <c r="T24" s="20" t="s">
        <v>36</v>
      </c>
      <c r="U24" s="23">
        <v>4.4000000000000004</v>
      </c>
      <c r="V24" s="75" t="str" cm="1">
        <f t="array" ref="V24">_xlfn.IFS(U24=0,"Not Rated",U24&gt;=4.5,"High Rating",U24&gt;=3,"Medium Rating",U24&lt;3,"Low Rating")</f>
        <v>Medium Rating</v>
      </c>
    </row>
    <row r="25" spans="1:22" x14ac:dyDescent="0.3">
      <c r="A25" s="24" t="s">
        <v>378</v>
      </c>
      <c r="B25" s="25">
        <v>46029</v>
      </c>
      <c r="C25" s="26" t="s">
        <v>51</v>
      </c>
      <c r="D25" s="26" t="s">
        <v>52</v>
      </c>
      <c r="E25" s="26" t="s">
        <v>53</v>
      </c>
      <c r="F25" s="26" t="s">
        <v>54</v>
      </c>
      <c r="G25" s="26" t="s">
        <v>55</v>
      </c>
      <c r="H25" s="26" t="s">
        <v>24</v>
      </c>
      <c r="I25" s="26" t="s">
        <v>34</v>
      </c>
      <c r="J25" s="27">
        <v>1</v>
      </c>
      <c r="K25" s="28">
        <v>1806.8</v>
      </c>
      <c r="L25" s="27">
        <v>5</v>
      </c>
      <c r="M25" s="22">
        <f t="shared" si="0"/>
        <v>90.34</v>
      </c>
      <c r="N25" s="28">
        <v>1716.46</v>
      </c>
      <c r="O25" s="28">
        <v>1050</v>
      </c>
      <c r="P25" s="28">
        <v>666.46</v>
      </c>
      <c r="Q25" s="72" t="str">
        <f>IF(retail_store_performance_dashbo!$P25&gt;0,"Profit",IF(retail_store_performance_dashbo!$P25&lt;0,"Loss","Break Even"))</f>
        <v>Profit</v>
      </c>
      <c r="R25" s="62" t="str" cm="1">
        <f t="array" ref="R25">_xlfn.IFS(L25=0,"No Discount",L25&lt;=5,"Low Discount",L25&lt;=10,"Medium Discount",L25&lt;=20,"High Discount")</f>
        <v>Low Discount</v>
      </c>
      <c r="S25" s="26" t="s">
        <v>43</v>
      </c>
      <c r="T25" s="26" t="s">
        <v>36</v>
      </c>
      <c r="U25" s="29">
        <v>3.5</v>
      </c>
      <c r="V25" s="75" t="str" cm="1">
        <f t="array" ref="V25">_xlfn.IFS(U25=0,"Not Rated",U25&gt;=4.5,"High Rating",U25&gt;=3,"Medium Rating",U25&lt;3,"Low Rating")</f>
        <v>Medium Rating</v>
      </c>
    </row>
    <row r="26" spans="1:22" x14ac:dyDescent="0.3">
      <c r="A26" s="18" t="s">
        <v>483</v>
      </c>
      <c r="B26" s="19">
        <v>46029</v>
      </c>
      <c r="C26" s="20" t="s">
        <v>51</v>
      </c>
      <c r="D26" s="20" t="s">
        <v>52</v>
      </c>
      <c r="E26" s="20" t="s">
        <v>53</v>
      </c>
      <c r="F26" s="20" t="s">
        <v>54</v>
      </c>
      <c r="G26" s="20" t="s">
        <v>55</v>
      </c>
      <c r="H26" s="20" t="s">
        <v>48</v>
      </c>
      <c r="I26" s="20" t="s">
        <v>49</v>
      </c>
      <c r="J26" s="21">
        <v>6</v>
      </c>
      <c r="K26" s="22">
        <v>270.14999999999998</v>
      </c>
      <c r="L26" s="21">
        <v>10</v>
      </c>
      <c r="M26" s="22">
        <f t="shared" si="0"/>
        <v>162.08999999999997</v>
      </c>
      <c r="N26" s="22">
        <v>1458.81</v>
      </c>
      <c r="O26" s="22">
        <v>1260</v>
      </c>
      <c r="P26" s="22">
        <v>198.81</v>
      </c>
      <c r="Q26" s="62" t="str">
        <f>IF(retail_store_performance_dashbo!$P26&gt;0,"Profit",IF(retail_store_performance_dashbo!$P26&lt;0,"Loss","Break Even"))</f>
        <v>Profit</v>
      </c>
      <c r="R26" s="62" t="str" cm="1">
        <f t="array" ref="R26">_xlfn.IFS(L26=0,"No Discount",L26&lt;=5,"Low Discount",L26&lt;=10,"Medium Discount",L26&lt;=20,"High Discount")</f>
        <v>Medium Discount</v>
      </c>
      <c r="S26" s="20" t="s">
        <v>70</v>
      </c>
      <c r="T26" s="20" t="s">
        <v>36</v>
      </c>
      <c r="U26" s="23">
        <v>3.1</v>
      </c>
      <c r="V26" s="75" t="str" cm="1">
        <f t="array" ref="V26">_xlfn.IFS(U26=0,"Not Rated",U26&gt;=4.5,"High Rating",U26&gt;=3,"Medium Rating",U26&lt;3,"Low Rating")</f>
        <v>Medium Rating</v>
      </c>
    </row>
    <row r="27" spans="1:22" x14ac:dyDescent="0.3">
      <c r="A27" s="24" t="s">
        <v>516</v>
      </c>
      <c r="B27" s="25">
        <v>46029</v>
      </c>
      <c r="C27" s="26" t="s">
        <v>51</v>
      </c>
      <c r="D27" s="26" t="s">
        <v>52</v>
      </c>
      <c r="E27" s="26" t="s">
        <v>53</v>
      </c>
      <c r="F27" s="26" t="s">
        <v>54</v>
      </c>
      <c r="G27" s="26" t="s">
        <v>55</v>
      </c>
      <c r="H27" s="26" t="s">
        <v>45</v>
      </c>
      <c r="I27" s="26" t="s">
        <v>88</v>
      </c>
      <c r="J27" s="27">
        <v>6</v>
      </c>
      <c r="K27" s="28">
        <v>870.73</v>
      </c>
      <c r="L27" s="27">
        <v>5</v>
      </c>
      <c r="M27" s="22">
        <f t="shared" si="0"/>
        <v>261.21899999999999</v>
      </c>
      <c r="N27" s="28">
        <v>4963.16</v>
      </c>
      <c r="O27" s="28">
        <v>3000</v>
      </c>
      <c r="P27" s="28">
        <v>1963.16</v>
      </c>
      <c r="Q27" s="72" t="str">
        <f>IF(retail_store_performance_dashbo!$P27&gt;0,"Profit",IF(retail_store_performance_dashbo!$P27&lt;0,"Loss","Break Even"))</f>
        <v>Profit</v>
      </c>
      <c r="R27" s="62" t="str" cm="1">
        <f t="array" ref="R27">_xlfn.IFS(L27=0,"No Discount",L27&lt;=5,"Low Discount",L27&lt;=10,"Medium Discount",L27&lt;=20,"High Discount")</f>
        <v>Low Discount</v>
      </c>
      <c r="S27" s="26" t="s">
        <v>70</v>
      </c>
      <c r="T27" s="26" t="s">
        <v>36</v>
      </c>
      <c r="U27" s="29">
        <v>4.8</v>
      </c>
      <c r="V27" s="75" t="str" cm="1">
        <f t="array" ref="V27">_xlfn.IFS(U27=0,"Not Rated",U27&gt;=4.5,"High Rating",U27&gt;=3,"Medium Rating",U27&lt;3,"Low Rating")</f>
        <v>High Rating</v>
      </c>
    </row>
    <row r="28" spans="1:22" x14ac:dyDescent="0.3">
      <c r="A28" s="18" t="s">
        <v>119</v>
      </c>
      <c r="B28" s="19">
        <v>46030</v>
      </c>
      <c r="C28" s="20" t="s">
        <v>29</v>
      </c>
      <c r="D28" s="20" t="s">
        <v>30</v>
      </c>
      <c r="E28" s="20" t="s">
        <v>31</v>
      </c>
      <c r="F28" s="20" t="s">
        <v>32</v>
      </c>
      <c r="G28" s="20" t="s">
        <v>33</v>
      </c>
      <c r="H28" s="20" t="s">
        <v>24</v>
      </c>
      <c r="I28" s="20" t="s">
        <v>34</v>
      </c>
      <c r="J28" s="21">
        <v>2</v>
      </c>
      <c r="K28" s="22">
        <v>1774.07</v>
      </c>
      <c r="L28" s="21">
        <v>15</v>
      </c>
      <c r="M28" s="22">
        <f t="shared" si="0"/>
        <v>532.221</v>
      </c>
      <c r="N28" s="22">
        <v>3015.92</v>
      </c>
      <c r="O28" s="22">
        <v>2100</v>
      </c>
      <c r="P28" s="22">
        <v>915.92</v>
      </c>
      <c r="Q28" s="62" t="str">
        <f>IF(retail_store_performance_dashbo!$P28&gt;0,"Profit",IF(retail_store_performance_dashbo!$P28&lt;0,"Loss","Break Even"))</f>
        <v>Profit</v>
      </c>
      <c r="R28" s="62" t="str" cm="1">
        <f t="array" ref="R28">_xlfn.IFS(L28=0,"No Discount",L28&lt;=5,"Low Discount",L28&lt;=10,"Medium Discount",L28&lt;=20,"High Discount")</f>
        <v>High Discount</v>
      </c>
      <c r="S28" s="20" t="s">
        <v>35</v>
      </c>
      <c r="T28" s="20" t="s">
        <v>36</v>
      </c>
      <c r="U28" s="23">
        <v>4.5999999999999996</v>
      </c>
      <c r="V28" s="75" t="str" cm="1">
        <f t="array" ref="V28">_xlfn.IFS(U28=0,"Not Rated",U28&gt;=4.5,"High Rating",U28&gt;=3,"Medium Rating",U28&lt;3,"Low Rating")</f>
        <v>High Rating</v>
      </c>
    </row>
    <row r="29" spans="1:22" x14ac:dyDescent="0.3">
      <c r="A29" s="24" t="s">
        <v>160</v>
      </c>
      <c r="B29" s="25">
        <v>46030</v>
      </c>
      <c r="C29" s="26" t="s">
        <v>61</v>
      </c>
      <c r="D29" s="26" t="s">
        <v>62</v>
      </c>
      <c r="E29" s="26" t="s">
        <v>63</v>
      </c>
      <c r="F29" s="26" t="s">
        <v>22</v>
      </c>
      <c r="G29" s="26" t="s">
        <v>64</v>
      </c>
      <c r="H29" s="26" t="s">
        <v>45</v>
      </c>
      <c r="I29" s="26" t="s">
        <v>124</v>
      </c>
      <c r="J29" s="27">
        <v>2</v>
      </c>
      <c r="K29" s="28">
        <v>4170.17</v>
      </c>
      <c r="L29" s="27">
        <v>5</v>
      </c>
      <c r="M29" s="22">
        <f t="shared" si="0"/>
        <v>417.017</v>
      </c>
      <c r="N29" s="28">
        <v>7923.32</v>
      </c>
      <c r="O29" s="28">
        <v>5200</v>
      </c>
      <c r="P29" s="28">
        <v>2723.32</v>
      </c>
      <c r="Q29" s="72" t="str">
        <f>IF(retail_store_performance_dashbo!$P29&gt;0,"Profit",IF(retail_store_performance_dashbo!$P29&lt;0,"Loss","Break Even"))</f>
        <v>Profit</v>
      </c>
      <c r="R29" s="62" t="str" cm="1">
        <f t="array" ref="R29">_xlfn.IFS(L29=0,"No Discount",L29&lt;=5,"Low Discount",L29&lt;=10,"Medium Discount",L29&lt;=20,"High Discount")</f>
        <v>Low Discount</v>
      </c>
      <c r="S29" s="26" t="s">
        <v>70</v>
      </c>
      <c r="T29" s="26" t="s">
        <v>36</v>
      </c>
      <c r="U29" s="29">
        <v>4.5999999999999996</v>
      </c>
      <c r="V29" s="75" t="str" cm="1">
        <f t="array" ref="V29">_xlfn.IFS(U29=0,"Not Rated",U29&gt;=4.5,"High Rating",U29&gt;=3,"Medium Rating",U29&lt;3,"Low Rating")</f>
        <v>High Rating</v>
      </c>
    </row>
    <row r="30" spans="1:22" x14ac:dyDescent="0.3">
      <c r="A30" s="18" t="s">
        <v>172</v>
      </c>
      <c r="B30" s="19">
        <v>46030</v>
      </c>
      <c r="C30" s="20" t="s">
        <v>97</v>
      </c>
      <c r="D30" s="20" t="s">
        <v>98</v>
      </c>
      <c r="E30" s="20" t="s">
        <v>99</v>
      </c>
      <c r="F30" s="20" t="s">
        <v>54</v>
      </c>
      <c r="G30" s="20" t="s">
        <v>100</v>
      </c>
      <c r="H30" s="20" t="s">
        <v>48</v>
      </c>
      <c r="I30" s="20" t="s">
        <v>109</v>
      </c>
      <c r="J30" s="21">
        <v>3</v>
      </c>
      <c r="K30" s="22">
        <v>665.54</v>
      </c>
      <c r="L30" s="21">
        <v>15</v>
      </c>
      <c r="M30" s="22">
        <f t="shared" si="0"/>
        <v>299.49299999999999</v>
      </c>
      <c r="N30" s="22">
        <v>1697.13</v>
      </c>
      <c r="O30" s="22">
        <v>1530</v>
      </c>
      <c r="P30" s="22">
        <v>167.13</v>
      </c>
      <c r="Q30" s="62" t="str">
        <f>IF(retail_store_performance_dashbo!$P30&gt;0,"Profit",IF(retail_store_performance_dashbo!$P30&lt;0,"Loss","Break Even"))</f>
        <v>Profit</v>
      </c>
      <c r="R30" s="62" t="str" cm="1">
        <f t="array" ref="R30">_xlfn.IFS(L30=0,"No Discount",L30&lt;=5,"Low Discount",L30&lt;=10,"Medium Discount",L30&lt;=20,"High Discount")</f>
        <v>High Discount</v>
      </c>
      <c r="S30" s="20" t="s">
        <v>70</v>
      </c>
      <c r="T30" s="20" t="s">
        <v>36</v>
      </c>
      <c r="U30" s="23">
        <v>4</v>
      </c>
      <c r="V30" s="75" t="str" cm="1">
        <f t="array" ref="V30">_xlfn.IFS(U30=0,"Not Rated",U30&gt;=4.5,"High Rating",U30&gt;=3,"Medium Rating",U30&lt;3,"Low Rating")</f>
        <v>Medium Rating</v>
      </c>
    </row>
    <row r="31" spans="1:22" x14ac:dyDescent="0.3">
      <c r="A31" s="24" t="s">
        <v>201</v>
      </c>
      <c r="B31" s="25">
        <v>46030</v>
      </c>
      <c r="C31" s="26" t="s">
        <v>146</v>
      </c>
      <c r="D31" s="26" t="s">
        <v>147</v>
      </c>
      <c r="E31" s="26" t="s">
        <v>148</v>
      </c>
      <c r="F31" s="26" t="s">
        <v>22</v>
      </c>
      <c r="G31" s="26" t="s">
        <v>149</v>
      </c>
      <c r="H31" s="26" t="s">
        <v>45</v>
      </c>
      <c r="I31" s="26" t="s">
        <v>46</v>
      </c>
      <c r="J31" s="27">
        <v>6</v>
      </c>
      <c r="K31" s="28">
        <v>3134.23</v>
      </c>
      <c r="L31" s="27">
        <v>15</v>
      </c>
      <c r="M31" s="22">
        <f t="shared" si="0"/>
        <v>2820.8070000000002</v>
      </c>
      <c r="N31" s="28">
        <v>15984.57</v>
      </c>
      <c r="O31" s="28">
        <v>11400</v>
      </c>
      <c r="P31" s="28">
        <v>4584.57</v>
      </c>
      <c r="Q31" s="72" t="str">
        <f>IF(retail_store_performance_dashbo!$P31&gt;0,"Profit",IF(retail_store_performance_dashbo!$P31&lt;0,"Loss","Break Even"))</f>
        <v>Profit</v>
      </c>
      <c r="R31" s="62" t="str" cm="1">
        <f t="array" ref="R31">_xlfn.IFS(L31=0,"No Discount",L31&lt;=5,"Low Discount",L31&lt;=10,"Medium Discount",L31&lt;=20,"High Discount")</f>
        <v>High Discount</v>
      </c>
      <c r="S31" s="26" t="s">
        <v>70</v>
      </c>
      <c r="T31" s="26" t="s">
        <v>36</v>
      </c>
      <c r="U31" s="29">
        <v>4.4000000000000004</v>
      </c>
      <c r="V31" s="75" t="str" cm="1">
        <f t="array" ref="V31">_xlfn.IFS(U31=0,"Not Rated",U31&gt;=4.5,"High Rating",U31&gt;=3,"Medium Rating",U31&lt;3,"Low Rating")</f>
        <v>Medium Rating</v>
      </c>
    </row>
    <row r="32" spans="1:22" x14ac:dyDescent="0.3">
      <c r="A32" s="18" t="s">
        <v>404</v>
      </c>
      <c r="B32" s="19">
        <v>46030</v>
      </c>
      <c r="C32" s="20" t="s">
        <v>61</v>
      </c>
      <c r="D32" s="20" t="s">
        <v>62</v>
      </c>
      <c r="E32" s="20" t="s">
        <v>63</v>
      </c>
      <c r="F32" s="20" t="s">
        <v>22</v>
      </c>
      <c r="G32" s="20" t="s">
        <v>64</v>
      </c>
      <c r="H32" s="20" t="s">
        <v>24</v>
      </c>
      <c r="I32" s="20" t="s">
        <v>75</v>
      </c>
      <c r="J32" s="21">
        <v>2</v>
      </c>
      <c r="K32" s="22">
        <v>446.01</v>
      </c>
      <c r="L32" s="21">
        <v>10</v>
      </c>
      <c r="M32" s="22">
        <f t="shared" si="0"/>
        <v>89.202000000000012</v>
      </c>
      <c r="N32" s="22">
        <v>0</v>
      </c>
      <c r="O32" s="22">
        <v>580</v>
      </c>
      <c r="P32" s="22">
        <v>0</v>
      </c>
      <c r="Q32" s="62" t="str">
        <f>IF(retail_store_performance_dashbo!$P32&gt;0,"Profit",IF(retail_store_performance_dashbo!$P32&lt;0,"Loss","Break Even"))</f>
        <v>Break Even</v>
      </c>
      <c r="R32" s="62" t="str" cm="1">
        <f t="array" ref="R32">_xlfn.IFS(L32=0,"No Discount",L32&lt;=5,"Low Discount",L32&lt;=10,"Medium Discount",L32&lt;=20,"High Discount")</f>
        <v>Medium Discount</v>
      </c>
      <c r="S32" s="20" t="s">
        <v>67</v>
      </c>
      <c r="T32" s="20" t="s">
        <v>83</v>
      </c>
      <c r="U32" s="23">
        <v>0</v>
      </c>
      <c r="V32" s="75" t="str" cm="1">
        <f t="array" ref="V32">_xlfn.IFS(U32=0,"Not Rated",U32&gt;=4.5,"High Rating",U32&gt;=3,"Medium Rating",U32&lt;3,"Low Rating")</f>
        <v>Not Rated</v>
      </c>
    </row>
    <row r="33" spans="1:22" x14ac:dyDescent="0.3">
      <c r="A33" s="24" t="s">
        <v>114</v>
      </c>
      <c r="B33" s="25">
        <v>46032</v>
      </c>
      <c r="C33" s="26" t="s">
        <v>29</v>
      </c>
      <c r="D33" s="26" t="s">
        <v>30</v>
      </c>
      <c r="E33" s="26" t="s">
        <v>31</v>
      </c>
      <c r="F33" s="26" t="s">
        <v>32</v>
      </c>
      <c r="G33" s="26" t="s">
        <v>33</v>
      </c>
      <c r="H33" s="26" t="s">
        <v>48</v>
      </c>
      <c r="I33" s="26" t="s">
        <v>49</v>
      </c>
      <c r="J33" s="27">
        <v>5</v>
      </c>
      <c r="K33" s="28">
        <v>272.04000000000002</v>
      </c>
      <c r="L33" s="27">
        <v>20</v>
      </c>
      <c r="M33" s="22">
        <f t="shared" si="0"/>
        <v>272.04000000000002</v>
      </c>
      <c r="N33" s="28">
        <v>1088.1600000000001</v>
      </c>
      <c r="O33" s="28">
        <v>1050</v>
      </c>
      <c r="P33" s="28">
        <v>38.159999999999997</v>
      </c>
      <c r="Q33" s="72" t="str">
        <f>IF(retail_store_performance_dashbo!$P33&gt;0,"Profit",IF(retail_store_performance_dashbo!$P33&lt;0,"Loss","Break Even"))</f>
        <v>Profit</v>
      </c>
      <c r="R33" s="62" t="str" cm="1">
        <f t="array" ref="R33">_xlfn.IFS(L33=0,"No Discount",L33&lt;=5,"Low Discount",L33&lt;=10,"Medium Discount",L33&lt;=20,"High Discount")</f>
        <v>High Discount</v>
      </c>
      <c r="S33" s="26" t="s">
        <v>67</v>
      </c>
      <c r="T33" s="26" t="s">
        <v>36</v>
      </c>
      <c r="U33" s="29">
        <v>4.4000000000000004</v>
      </c>
      <c r="V33" s="75" t="str" cm="1">
        <f t="array" ref="V33">_xlfn.IFS(U33=0,"Not Rated",U33&gt;=4.5,"High Rating",U33&gt;=3,"Medium Rating",U33&lt;3,"Low Rating")</f>
        <v>Medium Rating</v>
      </c>
    </row>
    <row r="34" spans="1:22" x14ac:dyDescent="0.3">
      <c r="A34" s="18" t="s">
        <v>156</v>
      </c>
      <c r="B34" s="19">
        <v>46032</v>
      </c>
      <c r="C34" s="20" t="s">
        <v>61</v>
      </c>
      <c r="D34" s="20" t="s">
        <v>62</v>
      </c>
      <c r="E34" s="20" t="s">
        <v>63</v>
      </c>
      <c r="F34" s="20" t="s">
        <v>22</v>
      </c>
      <c r="G34" s="20" t="s">
        <v>64</v>
      </c>
      <c r="H34" s="20" t="s">
        <v>45</v>
      </c>
      <c r="I34" s="20" t="s">
        <v>88</v>
      </c>
      <c r="J34" s="21">
        <v>1</v>
      </c>
      <c r="K34" s="22">
        <v>898.26</v>
      </c>
      <c r="L34" s="21">
        <v>10</v>
      </c>
      <c r="M34" s="22">
        <f t="shared" si="0"/>
        <v>89.826000000000008</v>
      </c>
      <c r="N34" s="22">
        <v>808.43</v>
      </c>
      <c r="O34" s="22">
        <v>500</v>
      </c>
      <c r="P34" s="22">
        <v>308.43</v>
      </c>
      <c r="Q34" s="62" t="str">
        <f>IF(retail_store_performance_dashbo!$P34&gt;0,"Profit",IF(retail_store_performance_dashbo!$P34&lt;0,"Loss","Break Even"))</f>
        <v>Profit</v>
      </c>
      <c r="R34" s="62" t="str" cm="1">
        <f t="array" ref="R34">_xlfn.IFS(L34=0,"No Discount",L34&lt;=5,"Low Discount",L34&lt;=10,"Medium Discount",L34&lt;=20,"High Discount")</f>
        <v>Medium Discount</v>
      </c>
      <c r="S34" s="20" t="s">
        <v>35</v>
      </c>
      <c r="T34" s="20" t="s">
        <v>36</v>
      </c>
      <c r="U34" s="23">
        <v>4.5</v>
      </c>
      <c r="V34" s="75" t="str" cm="1">
        <f t="array" ref="V34">_xlfn.IFS(U34=0,"Not Rated",U34&gt;=4.5,"High Rating",U34&gt;=3,"Medium Rating",U34&lt;3,"Low Rating")</f>
        <v>High Rating</v>
      </c>
    </row>
    <row r="35" spans="1:22" x14ac:dyDescent="0.3">
      <c r="A35" s="24" t="s">
        <v>231</v>
      </c>
      <c r="B35" s="25">
        <v>46032</v>
      </c>
      <c r="C35" s="26" t="s">
        <v>97</v>
      </c>
      <c r="D35" s="26" t="s">
        <v>98</v>
      </c>
      <c r="E35" s="26" t="s">
        <v>99</v>
      </c>
      <c r="F35" s="26" t="s">
        <v>54</v>
      </c>
      <c r="G35" s="26" t="s">
        <v>100</v>
      </c>
      <c r="H35" s="26" t="s">
        <v>58</v>
      </c>
      <c r="I35" s="26" t="s">
        <v>82</v>
      </c>
      <c r="J35" s="27">
        <v>5</v>
      </c>
      <c r="K35" s="28">
        <v>2456.58</v>
      </c>
      <c r="L35" s="27">
        <v>10</v>
      </c>
      <c r="M35" s="22">
        <f t="shared" si="0"/>
        <v>1228.29</v>
      </c>
      <c r="N35" s="28">
        <v>11054.61</v>
      </c>
      <c r="O35" s="28">
        <v>7750</v>
      </c>
      <c r="P35" s="28">
        <v>3304.61</v>
      </c>
      <c r="Q35" s="72" t="str">
        <f>IF(retail_store_performance_dashbo!$P35&gt;0,"Profit",IF(retail_store_performance_dashbo!$P35&lt;0,"Loss","Break Even"))</f>
        <v>Profit</v>
      </c>
      <c r="R35" s="62" t="str" cm="1">
        <f t="array" ref="R35">_xlfn.IFS(L35=0,"No Discount",L35&lt;=5,"Low Discount",L35&lt;=10,"Medium Discount",L35&lt;=20,"High Discount")</f>
        <v>Medium Discount</v>
      </c>
      <c r="S35" s="26" t="s">
        <v>43</v>
      </c>
      <c r="T35" s="26" t="s">
        <v>36</v>
      </c>
      <c r="U35" s="29">
        <v>3.7</v>
      </c>
      <c r="V35" s="75" t="str" cm="1">
        <f t="array" ref="V35">_xlfn.IFS(U35=0,"Not Rated",U35&gt;=4.5,"High Rating",U35&gt;=3,"Medium Rating",U35&lt;3,"Low Rating")</f>
        <v>Medium Rating</v>
      </c>
    </row>
    <row r="36" spans="1:22" x14ac:dyDescent="0.3">
      <c r="A36" s="18" t="s">
        <v>459</v>
      </c>
      <c r="B36" s="19">
        <v>46032</v>
      </c>
      <c r="C36" s="20" t="s">
        <v>146</v>
      </c>
      <c r="D36" s="20" t="s">
        <v>147</v>
      </c>
      <c r="E36" s="20" t="s">
        <v>148</v>
      </c>
      <c r="F36" s="20" t="s">
        <v>22</v>
      </c>
      <c r="G36" s="20" t="s">
        <v>149</v>
      </c>
      <c r="H36" s="20" t="s">
        <v>48</v>
      </c>
      <c r="I36" s="20" t="s">
        <v>109</v>
      </c>
      <c r="J36" s="21">
        <v>6</v>
      </c>
      <c r="K36" s="22">
        <v>619.80999999999995</v>
      </c>
      <c r="L36" s="21">
        <v>10</v>
      </c>
      <c r="M36" s="22">
        <f t="shared" si="0"/>
        <v>371.88599999999997</v>
      </c>
      <c r="N36" s="22">
        <v>3346.97</v>
      </c>
      <c r="O36" s="22">
        <v>3060</v>
      </c>
      <c r="P36" s="22">
        <v>286.97000000000003</v>
      </c>
      <c r="Q36" s="62" t="str">
        <f>IF(retail_store_performance_dashbo!$P36&gt;0,"Profit",IF(retail_store_performance_dashbo!$P36&lt;0,"Loss","Break Even"))</f>
        <v>Profit</v>
      </c>
      <c r="R36" s="62" t="str" cm="1">
        <f t="array" ref="R36">_xlfn.IFS(L36=0,"No Discount",L36&lt;=5,"Low Discount",L36&lt;=10,"Medium Discount",L36&lt;=20,"High Discount")</f>
        <v>Medium Discount</v>
      </c>
      <c r="S36" s="20" t="s">
        <v>26</v>
      </c>
      <c r="T36" s="20" t="s">
        <v>36</v>
      </c>
      <c r="U36" s="23">
        <v>3.3</v>
      </c>
      <c r="V36" s="75" t="str" cm="1">
        <f t="array" ref="V36">_xlfn.IFS(U36=0,"Not Rated",U36&gt;=4.5,"High Rating",U36&gt;=3,"Medium Rating",U36&lt;3,"Low Rating")</f>
        <v>Medium Rating</v>
      </c>
    </row>
    <row r="37" spans="1:22" x14ac:dyDescent="0.3">
      <c r="A37" s="24" t="s">
        <v>290</v>
      </c>
      <c r="B37" s="25">
        <v>46033</v>
      </c>
      <c r="C37" s="26" t="s">
        <v>146</v>
      </c>
      <c r="D37" s="26" t="s">
        <v>147</v>
      </c>
      <c r="E37" s="26" t="s">
        <v>148</v>
      </c>
      <c r="F37" s="26" t="s">
        <v>22</v>
      </c>
      <c r="G37" s="26" t="s">
        <v>149</v>
      </c>
      <c r="H37" s="26" t="s">
        <v>41</v>
      </c>
      <c r="I37" s="26" t="s">
        <v>106</v>
      </c>
      <c r="J37" s="27">
        <v>2</v>
      </c>
      <c r="K37" s="28">
        <v>21289.3</v>
      </c>
      <c r="L37" s="27">
        <v>0</v>
      </c>
      <c r="M37" s="22">
        <f t="shared" si="0"/>
        <v>0</v>
      </c>
      <c r="N37" s="28">
        <v>42578.6</v>
      </c>
      <c r="O37" s="28">
        <v>32000</v>
      </c>
      <c r="P37" s="28">
        <v>10578.6</v>
      </c>
      <c r="Q37" s="72" t="str">
        <f>IF(retail_store_performance_dashbo!$P37&gt;0,"Profit",IF(retail_store_performance_dashbo!$P37&lt;0,"Loss","Break Even"))</f>
        <v>Profit</v>
      </c>
      <c r="R37" s="62" t="str" cm="1">
        <f t="array" ref="R37">_xlfn.IFS(L37=0,"No Discount",L37&lt;=5,"Low Discount",L37&lt;=10,"Medium Discount",L37&lt;=20,"High Discount")</f>
        <v>No Discount</v>
      </c>
      <c r="S37" s="26" t="s">
        <v>35</v>
      </c>
      <c r="T37" s="26" t="s">
        <v>36</v>
      </c>
      <c r="U37" s="29">
        <v>3.7</v>
      </c>
      <c r="V37" s="75" t="str" cm="1">
        <f t="array" ref="V37">_xlfn.IFS(U37=0,"Not Rated",U37&gt;=4.5,"High Rating",U37&gt;=3,"Medium Rating",U37&lt;3,"Low Rating")</f>
        <v>Medium Rating</v>
      </c>
    </row>
    <row r="38" spans="1:22" x14ac:dyDescent="0.3">
      <c r="A38" s="18" t="s">
        <v>95</v>
      </c>
      <c r="B38" s="19">
        <v>46034</v>
      </c>
      <c r="C38" s="20" t="s">
        <v>51</v>
      </c>
      <c r="D38" s="20" t="s">
        <v>52</v>
      </c>
      <c r="E38" s="20" t="s">
        <v>53</v>
      </c>
      <c r="F38" s="20" t="s">
        <v>54</v>
      </c>
      <c r="G38" s="20" t="s">
        <v>55</v>
      </c>
      <c r="H38" s="20" t="s">
        <v>58</v>
      </c>
      <c r="I38" s="20" t="s">
        <v>82</v>
      </c>
      <c r="J38" s="21">
        <v>6</v>
      </c>
      <c r="K38" s="22">
        <v>2325.25</v>
      </c>
      <c r="L38" s="21">
        <v>0</v>
      </c>
      <c r="M38" s="22">
        <f t="shared" si="0"/>
        <v>0</v>
      </c>
      <c r="N38" s="22">
        <v>13951.5</v>
      </c>
      <c r="O38" s="22">
        <v>9300</v>
      </c>
      <c r="P38" s="22">
        <v>4651.5</v>
      </c>
      <c r="Q38" s="62" t="str">
        <f>IF(retail_store_performance_dashbo!$P38&gt;0,"Profit",IF(retail_store_performance_dashbo!$P38&lt;0,"Loss","Break Even"))</f>
        <v>Profit</v>
      </c>
      <c r="R38" s="62" t="str" cm="1">
        <f t="array" ref="R38">_xlfn.IFS(L38=0,"No Discount",L38&lt;=5,"Low Discount",L38&lt;=10,"Medium Discount",L38&lt;=20,"High Discount")</f>
        <v>No Discount</v>
      </c>
      <c r="S38" s="20" t="s">
        <v>26</v>
      </c>
      <c r="T38" s="20" t="s">
        <v>36</v>
      </c>
      <c r="U38" s="23">
        <v>4.0999999999999996</v>
      </c>
      <c r="V38" s="75" t="str" cm="1">
        <f t="array" ref="V38">_xlfn.IFS(U38=0,"Not Rated",U38&gt;=4.5,"High Rating",U38&gt;=3,"Medium Rating",U38&lt;3,"Low Rating")</f>
        <v>Medium Rating</v>
      </c>
    </row>
    <row r="39" spans="1:22" x14ac:dyDescent="0.3">
      <c r="A39" s="24" t="s">
        <v>417</v>
      </c>
      <c r="B39" s="25">
        <v>46034</v>
      </c>
      <c r="C39" s="26" t="s">
        <v>97</v>
      </c>
      <c r="D39" s="26" t="s">
        <v>98</v>
      </c>
      <c r="E39" s="26" t="s">
        <v>99</v>
      </c>
      <c r="F39" s="26" t="s">
        <v>54</v>
      </c>
      <c r="G39" s="26" t="s">
        <v>100</v>
      </c>
      <c r="H39" s="26" t="s">
        <v>24</v>
      </c>
      <c r="I39" s="26" t="s">
        <v>66</v>
      </c>
      <c r="J39" s="27">
        <v>4</v>
      </c>
      <c r="K39" s="28">
        <v>567.87</v>
      </c>
      <c r="L39" s="27">
        <v>20</v>
      </c>
      <c r="M39" s="22">
        <f t="shared" si="0"/>
        <v>454.29599999999999</v>
      </c>
      <c r="N39" s="28">
        <v>-1817.18</v>
      </c>
      <c r="O39" s="28">
        <v>1360</v>
      </c>
      <c r="P39" s="28">
        <v>-3177.18</v>
      </c>
      <c r="Q39" s="72" t="str">
        <f>IF(retail_store_performance_dashbo!$P39&gt;0,"Profit",IF(retail_store_performance_dashbo!$P39&lt;0,"Loss","Break Even"))</f>
        <v>Loss</v>
      </c>
      <c r="R39" s="62" t="str" cm="1">
        <f t="array" ref="R39">_xlfn.IFS(L39=0,"No Discount",L39&lt;=5,"Low Discount",L39&lt;=10,"Medium Discount",L39&lt;=20,"High Discount")</f>
        <v>High Discount</v>
      </c>
      <c r="S39" s="26" t="s">
        <v>70</v>
      </c>
      <c r="T39" s="26" t="s">
        <v>27</v>
      </c>
      <c r="U39" s="29">
        <v>3.7</v>
      </c>
      <c r="V39" s="75" t="str" cm="1">
        <f t="array" ref="V39">_xlfn.IFS(U39=0,"Not Rated",U39&gt;=4.5,"High Rating",U39&gt;=3,"Medium Rating",U39&lt;3,"Low Rating")</f>
        <v>Medium Rating</v>
      </c>
    </row>
    <row r="40" spans="1:22" x14ac:dyDescent="0.3">
      <c r="A40" s="18" t="s">
        <v>368</v>
      </c>
      <c r="B40" s="19">
        <v>46035</v>
      </c>
      <c r="C40" s="20" t="s">
        <v>97</v>
      </c>
      <c r="D40" s="20" t="s">
        <v>98</v>
      </c>
      <c r="E40" s="20" t="s">
        <v>99</v>
      </c>
      <c r="F40" s="20" t="s">
        <v>54</v>
      </c>
      <c r="G40" s="20" t="s">
        <v>100</v>
      </c>
      <c r="H40" s="20" t="s">
        <v>45</v>
      </c>
      <c r="I40" s="20" t="s">
        <v>88</v>
      </c>
      <c r="J40" s="21">
        <v>4</v>
      </c>
      <c r="K40" s="22">
        <v>919.6</v>
      </c>
      <c r="L40" s="21">
        <v>10</v>
      </c>
      <c r="M40" s="22">
        <f t="shared" si="0"/>
        <v>367.84</v>
      </c>
      <c r="N40" s="22">
        <v>3310.56</v>
      </c>
      <c r="O40" s="22">
        <v>2000</v>
      </c>
      <c r="P40" s="22">
        <v>1310.56</v>
      </c>
      <c r="Q40" s="62" t="str">
        <f>IF(retail_store_performance_dashbo!$P40&gt;0,"Profit",IF(retail_store_performance_dashbo!$P40&lt;0,"Loss","Break Even"))</f>
        <v>Profit</v>
      </c>
      <c r="R40" s="62" t="str" cm="1">
        <f t="array" ref="R40">_xlfn.IFS(L40=0,"No Discount",L40&lt;=5,"Low Discount",L40&lt;=10,"Medium Discount",L40&lt;=20,"High Discount")</f>
        <v>Medium Discount</v>
      </c>
      <c r="S40" s="20" t="s">
        <v>26</v>
      </c>
      <c r="T40" s="20" t="s">
        <v>36</v>
      </c>
      <c r="U40" s="23">
        <v>3.1</v>
      </c>
      <c r="V40" s="75" t="str" cm="1">
        <f t="array" ref="V40">_xlfn.IFS(U40=0,"Not Rated",U40&gt;=4.5,"High Rating",U40&gt;=3,"Medium Rating",U40&lt;3,"Low Rating")</f>
        <v>Medium Rating</v>
      </c>
    </row>
    <row r="41" spans="1:22" x14ac:dyDescent="0.3">
      <c r="A41" s="24" t="s">
        <v>386</v>
      </c>
      <c r="B41" s="25">
        <v>46035</v>
      </c>
      <c r="C41" s="26" t="s">
        <v>38</v>
      </c>
      <c r="D41" s="26" t="s">
        <v>39</v>
      </c>
      <c r="E41" s="26" t="s">
        <v>39</v>
      </c>
      <c r="F41" s="26" t="s">
        <v>32</v>
      </c>
      <c r="G41" s="26" t="s">
        <v>40</v>
      </c>
      <c r="H41" s="26" t="s">
        <v>58</v>
      </c>
      <c r="I41" s="26" t="s">
        <v>72</v>
      </c>
      <c r="J41" s="27">
        <v>5</v>
      </c>
      <c r="K41" s="28">
        <v>3753.76</v>
      </c>
      <c r="L41" s="27">
        <v>20</v>
      </c>
      <c r="M41" s="22">
        <f t="shared" si="0"/>
        <v>3753.7600000000007</v>
      </c>
      <c r="N41" s="28">
        <v>0</v>
      </c>
      <c r="O41" s="28">
        <v>13500</v>
      </c>
      <c r="P41" s="28">
        <v>0</v>
      </c>
      <c r="Q41" s="72" t="str">
        <f>IF(retail_store_performance_dashbo!$P41&gt;0,"Profit",IF(retail_store_performance_dashbo!$P41&lt;0,"Loss","Break Even"))</f>
        <v>Break Even</v>
      </c>
      <c r="R41" s="62" t="str" cm="1">
        <f t="array" ref="R41">_xlfn.IFS(L41=0,"No Discount",L41&lt;=5,"Low Discount",L41&lt;=10,"Medium Discount",L41&lt;=20,"High Discount")</f>
        <v>High Discount</v>
      </c>
      <c r="S41" s="26" t="s">
        <v>70</v>
      </c>
      <c r="T41" s="26" t="s">
        <v>83</v>
      </c>
      <c r="U41" s="29">
        <v>0</v>
      </c>
      <c r="V41" s="75" t="str" cm="1">
        <f t="array" ref="V41">_xlfn.IFS(U41=0,"Not Rated",U41&gt;=4.5,"High Rating",U41&gt;=3,"Medium Rating",U41&lt;3,"Low Rating")</f>
        <v>Not Rated</v>
      </c>
    </row>
    <row r="42" spans="1:22" x14ac:dyDescent="0.3">
      <c r="A42" s="18" t="s">
        <v>508</v>
      </c>
      <c r="B42" s="19">
        <v>46035</v>
      </c>
      <c r="C42" s="20" t="s">
        <v>19</v>
      </c>
      <c r="D42" s="20" t="s">
        <v>20</v>
      </c>
      <c r="E42" s="20" t="s">
        <v>21</v>
      </c>
      <c r="F42" s="20" t="s">
        <v>22</v>
      </c>
      <c r="G42" s="20" t="s">
        <v>23</v>
      </c>
      <c r="H42" s="20" t="s">
        <v>58</v>
      </c>
      <c r="I42" s="20" t="s">
        <v>69</v>
      </c>
      <c r="J42" s="21">
        <v>3</v>
      </c>
      <c r="K42" s="22">
        <v>723.73</v>
      </c>
      <c r="L42" s="21">
        <v>20</v>
      </c>
      <c r="M42" s="22">
        <f t="shared" si="0"/>
        <v>434.23800000000006</v>
      </c>
      <c r="N42" s="22">
        <v>1736.95</v>
      </c>
      <c r="O42" s="22">
        <v>1200</v>
      </c>
      <c r="P42" s="22">
        <v>536.95000000000005</v>
      </c>
      <c r="Q42" s="62" t="str">
        <f>IF(retail_store_performance_dashbo!$P42&gt;0,"Profit",IF(retail_store_performance_dashbo!$P42&lt;0,"Loss","Break Even"))</f>
        <v>Profit</v>
      </c>
      <c r="R42" s="62" t="str" cm="1">
        <f t="array" ref="R42">_xlfn.IFS(L42=0,"No Discount",L42&lt;=5,"Low Discount",L42&lt;=10,"Medium Discount",L42&lt;=20,"High Discount")</f>
        <v>High Discount</v>
      </c>
      <c r="S42" s="20" t="s">
        <v>43</v>
      </c>
      <c r="T42" s="20" t="s">
        <v>36</v>
      </c>
      <c r="U42" s="23">
        <v>4.2</v>
      </c>
      <c r="V42" s="75" t="str" cm="1">
        <f t="array" ref="V42">_xlfn.IFS(U42=0,"Not Rated",U42&gt;=4.5,"High Rating",U42&gt;=3,"Medium Rating",U42&lt;3,"Low Rating")</f>
        <v>Medium Rating</v>
      </c>
    </row>
    <row r="43" spans="1:22" x14ac:dyDescent="0.3">
      <c r="A43" s="24" t="s">
        <v>527</v>
      </c>
      <c r="B43" s="25">
        <v>46035</v>
      </c>
      <c r="C43" s="26" t="s">
        <v>77</v>
      </c>
      <c r="D43" s="26" t="s">
        <v>78</v>
      </c>
      <c r="E43" s="26" t="s">
        <v>79</v>
      </c>
      <c r="F43" s="26" t="s">
        <v>80</v>
      </c>
      <c r="G43" s="26" t="s">
        <v>81</v>
      </c>
      <c r="H43" s="26" t="s">
        <v>24</v>
      </c>
      <c r="I43" s="26" t="s">
        <v>25</v>
      </c>
      <c r="J43" s="27">
        <v>5</v>
      </c>
      <c r="K43" s="28">
        <v>352.34</v>
      </c>
      <c r="L43" s="27">
        <v>15</v>
      </c>
      <c r="M43" s="22">
        <f t="shared" si="0"/>
        <v>264.25499999999994</v>
      </c>
      <c r="N43" s="28">
        <v>-1497.44</v>
      </c>
      <c r="O43" s="28">
        <v>1100</v>
      </c>
      <c r="P43" s="28">
        <v>-2597.44</v>
      </c>
      <c r="Q43" s="72" t="str">
        <f>IF(retail_store_performance_dashbo!$P43&gt;0,"Profit",IF(retail_store_performance_dashbo!$P43&lt;0,"Loss","Break Even"))</f>
        <v>Loss</v>
      </c>
      <c r="R43" s="62" t="str" cm="1">
        <f t="array" ref="R43">_xlfn.IFS(L43=0,"No Discount",L43&lt;=5,"Low Discount",L43&lt;=10,"Medium Discount",L43&lt;=20,"High Discount")</f>
        <v>High Discount</v>
      </c>
      <c r="S43" s="26" t="s">
        <v>26</v>
      </c>
      <c r="T43" s="26" t="s">
        <v>27</v>
      </c>
      <c r="U43" s="29">
        <v>3.2</v>
      </c>
      <c r="V43" s="75" t="str" cm="1">
        <f t="array" ref="V43">_xlfn.IFS(U43=0,"Not Rated",U43&gt;=4.5,"High Rating",U43&gt;=3,"Medium Rating",U43&lt;3,"Low Rating")</f>
        <v>Medium Rating</v>
      </c>
    </row>
    <row r="44" spans="1:22" x14ac:dyDescent="0.3">
      <c r="A44" s="18" t="s">
        <v>464</v>
      </c>
      <c r="B44" s="19">
        <v>46036</v>
      </c>
      <c r="C44" s="20" t="s">
        <v>146</v>
      </c>
      <c r="D44" s="20" t="s">
        <v>147</v>
      </c>
      <c r="E44" s="20" t="s">
        <v>148</v>
      </c>
      <c r="F44" s="20" t="s">
        <v>22</v>
      </c>
      <c r="G44" s="20" t="s">
        <v>149</v>
      </c>
      <c r="H44" s="20" t="s">
        <v>45</v>
      </c>
      <c r="I44" s="20" t="s">
        <v>124</v>
      </c>
      <c r="J44" s="21">
        <v>6</v>
      </c>
      <c r="K44" s="22">
        <v>4256.03</v>
      </c>
      <c r="L44" s="21">
        <v>15</v>
      </c>
      <c r="M44" s="22">
        <f t="shared" si="0"/>
        <v>3830.4270000000001</v>
      </c>
      <c r="N44" s="22">
        <v>21705.75</v>
      </c>
      <c r="O44" s="22">
        <v>15600</v>
      </c>
      <c r="P44" s="22">
        <v>6105.75</v>
      </c>
      <c r="Q44" s="62" t="str">
        <f>IF(retail_store_performance_dashbo!$P44&gt;0,"Profit",IF(retail_store_performance_dashbo!$P44&lt;0,"Loss","Break Even"))</f>
        <v>Profit</v>
      </c>
      <c r="R44" s="62" t="str" cm="1">
        <f t="array" ref="R44">_xlfn.IFS(L44=0,"No Discount",L44&lt;=5,"Low Discount",L44&lt;=10,"Medium Discount",L44&lt;=20,"High Discount")</f>
        <v>High Discount</v>
      </c>
      <c r="S44" s="20" t="s">
        <v>70</v>
      </c>
      <c r="T44" s="20" t="s">
        <v>36</v>
      </c>
      <c r="U44" s="23">
        <v>4</v>
      </c>
      <c r="V44" s="75" t="str" cm="1">
        <f t="array" ref="V44">_xlfn.IFS(U44=0,"Not Rated",U44&gt;=4.5,"High Rating",U44&gt;=3,"Medium Rating",U44&lt;3,"Low Rating")</f>
        <v>Medium Rating</v>
      </c>
    </row>
    <row r="45" spans="1:22" x14ac:dyDescent="0.3">
      <c r="A45" s="24" t="s">
        <v>578</v>
      </c>
      <c r="B45" s="25">
        <v>46036</v>
      </c>
      <c r="C45" s="26" t="s">
        <v>61</v>
      </c>
      <c r="D45" s="26" t="s">
        <v>62</v>
      </c>
      <c r="E45" s="26" t="s">
        <v>63</v>
      </c>
      <c r="F45" s="26" t="s">
        <v>22</v>
      </c>
      <c r="G45" s="26" t="s">
        <v>64</v>
      </c>
      <c r="H45" s="26" t="s">
        <v>24</v>
      </c>
      <c r="I45" s="26" t="s">
        <v>25</v>
      </c>
      <c r="J45" s="27">
        <v>2</v>
      </c>
      <c r="K45" s="28">
        <v>342.85</v>
      </c>
      <c r="L45" s="27">
        <v>5</v>
      </c>
      <c r="M45" s="22">
        <f t="shared" si="0"/>
        <v>34.284999999999997</v>
      </c>
      <c r="N45" s="28">
        <v>651.41</v>
      </c>
      <c r="O45" s="28">
        <v>440</v>
      </c>
      <c r="P45" s="28">
        <v>211.41</v>
      </c>
      <c r="Q45" s="72" t="str">
        <f>IF(retail_store_performance_dashbo!$P45&gt;0,"Profit",IF(retail_store_performance_dashbo!$P45&lt;0,"Loss","Break Even"))</f>
        <v>Profit</v>
      </c>
      <c r="R45" s="62" t="str" cm="1">
        <f t="array" ref="R45">_xlfn.IFS(L45=0,"No Discount",L45&lt;=5,"Low Discount",L45&lt;=10,"Medium Discount",L45&lt;=20,"High Discount")</f>
        <v>Low Discount</v>
      </c>
      <c r="S45" s="26" t="s">
        <v>70</v>
      </c>
      <c r="T45" s="26" t="s">
        <v>36</v>
      </c>
      <c r="U45" s="29">
        <v>3.7</v>
      </c>
      <c r="V45" s="75" t="str" cm="1">
        <f t="array" ref="V45">_xlfn.IFS(U45=0,"Not Rated",U45&gt;=4.5,"High Rating",U45&gt;=3,"Medium Rating",U45&lt;3,"Low Rating")</f>
        <v>Medium Rating</v>
      </c>
    </row>
    <row r="46" spans="1:22" x14ac:dyDescent="0.3">
      <c r="A46" s="18" t="s">
        <v>116</v>
      </c>
      <c r="B46" s="19">
        <v>46037</v>
      </c>
      <c r="C46" s="20" t="s">
        <v>29</v>
      </c>
      <c r="D46" s="20" t="s">
        <v>30</v>
      </c>
      <c r="E46" s="20" t="s">
        <v>31</v>
      </c>
      <c r="F46" s="20" t="s">
        <v>32</v>
      </c>
      <c r="G46" s="20" t="s">
        <v>33</v>
      </c>
      <c r="H46" s="20" t="s">
        <v>41</v>
      </c>
      <c r="I46" s="20" t="s">
        <v>106</v>
      </c>
      <c r="J46" s="21">
        <v>3</v>
      </c>
      <c r="K46" s="22">
        <v>22429.66</v>
      </c>
      <c r="L46" s="21">
        <v>10</v>
      </c>
      <c r="M46" s="22">
        <f t="shared" si="0"/>
        <v>6728.8979999999992</v>
      </c>
      <c r="N46" s="22">
        <v>60560.08</v>
      </c>
      <c r="O46" s="22">
        <v>48000</v>
      </c>
      <c r="P46" s="22">
        <v>12560.08</v>
      </c>
      <c r="Q46" s="62" t="str">
        <f>IF(retail_store_performance_dashbo!$P46&gt;0,"Profit",IF(retail_store_performance_dashbo!$P46&lt;0,"Loss","Break Even"))</f>
        <v>Profit</v>
      </c>
      <c r="R46" s="62" t="str" cm="1">
        <f t="array" ref="R46">_xlfn.IFS(L46=0,"No Discount",L46&lt;=5,"Low Discount",L46&lt;=10,"Medium Discount",L46&lt;=20,"High Discount")</f>
        <v>Medium Discount</v>
      </c>
      <c r="S46" s="20" t="s">
        <v>67</v>
      </c>
      <c r="T46" s="20" t="s">
        <v>36</v>
      </c>
      <c r="U46" s="23">
        <v>4.5</v>
      </c>
      <c r="V46" s="75" t="str" cm="1">
        <f t="array" ref="V46">_xlfn.IFS(U46=0,"Not Rated",U46&gt;=4.5,"High Rating",U46&gt;=3,"Medium Rating",U46&lt;3,"Low Rating")</f>
        <v>High Rating</v>
      </c>
    </row>
    <row r="47" spans="1:22" x14ac:dyDescent="0.3">
      <c r="A47" s="24" t="s">
        <v>123</v>
      </c>
      <c r="B47" s="25">
        <v>46037</v>
      </c>
      <c r="C47" s="26" t="s">
        <v>51</v>
      </c>
      <c r="D47" s="26" t="s">
        <v>52</v>
      </c>
      <c r="E47" s="26" t="s">
        <v>53</v>
      </c>
      <c r="F47" s="26" t="s">
        <v>54</v>
      </c>
      <c r="G47" s="26" t="s">
        <v>55</v>
      </c>
      <c r="H47" s="26" t="s">
        <v>45</v>
      </c>
      <c r="I47" s="26" t="s">
        <v>124</v>
      </c>
      <c r="J47" s="27">
        <v>4</v>
      </c>
      <c r="K47" s="28">
        <v>4014.48</v>
      </c>
      <c r="L47" s="27">
        <v>5</v>
      </c>
      <c r="M47" s="22">
        <f t="shared" si="0"/>
        <v>802.89600000000007</v>
      </c>
      <c r="N47" s="28">
        <v>15255.02</v>
      </c>
      <c r="O47" s="28">
        <v>10400</v>
      </c>
      <c r="P47" s="28">
        <v>4855.0200000000004</v>
      </c>
      <c r="Q47" s="72" t="str">
        <f>IF(retail_store_performance_dashbo!$P47&gt;0,"Profit",IF(retail_store_performance_dashbo!$P47&lt;0,"Loss","Break Even"))</f>
        <v>Profit</v>
      </c>
      <c r="R47" s="62" t="str" cm="1">
        <f t="array" ref="R47">_xlfn.IFS(L47=0,"No Discount",L47&lt;=5,"Low Discount",L47&lt;=10,"Medium Discount",L47&lt;=20,"High Discount")</f>
        <v>Low Discount</v>
      </c>
      <c r="S47" s="26" t="s">
        <v>43</v>
      </c>
      <c r="T47" s="26" t="s">
        <v>36</v>
      </c>
      <c r="U47" s="29">
        <v>4.7</v>
      </c>
      <c r="V47" s="75" t="str" cm="1">
        <f t="array" ref="V47">_xlfn.IFS(U47=0,"Not Rated",U47&gt;=4.5,"High Rating",U47&gt;=3,"Medium Rating",U47&lt;3,"Low Rating")</f>
        <v>High Rating</v>
      </c>
    </row>
    <row r="48" spans="1:22" x14ac:dyDescent="0.3">
      <c r="A48" s="18" t="s">
        <v>502</v>
      </c>
      <c r="B48" s="19">
        <v>46037</v>
      </c>
      <c r="C48" s="20" t="s">
        <v>29</v>
      </c>
      <c r="D48" s="20" t="s">
        <v>30</v>
      </c>
      <c r="E48" s="20" t="s">
        <v>31</v>
      </c>
      <c r="F48" s="20" t="s">
        <v>32</v>
      </c>
      <c r="G48" s="20" t="s">
        <v>33</v>
      </c>
      <c r="H48" s="20" t="s">
        <v>24</v>
      </c>
      <c r="I48" s="20" t="s">
        <v>66</v>
      </c>
      <c r="J48" s="21">
        <v>5</v>
      </c>
      <c r="K48" s="22">
        <v>535.03</v>
      </c>
      <c r="L48" s="21">
        <v>0</v>
      </c>
      <c r="M48" s="22">
        <f t="shared" si="0"/>
        <v>0</v>
      </c>
      <c r="N48" s="22">
        <v>2675.15</v>
      </c>
      <c r="O48" s="22">
        <v>1700</v>
      </c>
      <c r="P48" s="22">
        <v>975.15</v>
      </c>
      <c r="Q48" s="62" t="str">
        <f>IF(retail_store_performance_dashbo!$P48&gt;0,"Profit",IF(retail_store_performance_dashbo!$P48&lt;0,"Loss","Break Even"))</f>
        <v>Profit</v>
      </c>
      <c r="R48" s="62" t="str" cm="1">
        <f t="array" ref="R48">_xlfn.IFS(L48=0,"No Discount",L48&lt;=5,"Low Discount",L48&lt;=10,"Medium Discount",L48&lt;=20,"High Discount")</f>
        <v>No Discount</v>
      </c>
      <c r="S48" s="20" t="s">
        <v>35</v>
      </c>
      <c r="T48" s="20" t="s">
        <v>36</v>
      </c>
      <c r="U48" s="23">
        <v>3.5</v>
      </c>
      <c r="V48" s="75" t="str" cm="1">
        <f t="array" ref="V48">_xlfn.IFS(U48=0,"Not Rated",U48&gt;=4.5,"High Rating",U48&gt;=3,"Medium Rating",U48&lt;3,"Low Rating")</f>
        <v>Medium Rating</v>
      </c>
    </row>
    <row r="49" spans="1:22" x14ac:dyDescent="0.3">
      <c r="A49" s="24" t="s">
        <v>163</v>
      </c>
      <c r="B49" s="25">
        <v>46038</v>
      </c>
      <c r="C49" s="26" t="s">
        <v>51</v>
      </c>
      <c r="D49" s="26" t="s">
        <v>52</v>
      </c>
      <c r="E49" s="26" t="s">
        <v>53</v>
      </c>
      <c r="F49" s="26" t="s">
        <v>54</v>
      </c>
      <c r="G49" s="26" t="s">
        <v>55</v>
      </c>
      <c r="H49" s="26" t="s">
        <v>48</v>
      </c>
      <c r="I49" s="26" t="s">
        <v>109</v>
      </c>
      <c r="J49" s="27">
        <v>3</v>
      </c>
      <c r="K49" s="28">
        <v>678.66</v>
      </c>
      <c r="L49" s="27">
        <v>5</v>
      </c>
      <c r="M49" s="22">
        <f t="shared" si="0"/>
        <v>101.79899999999999</v>
      </c>
      <c r="N49" s="28">
        <v>1934.18</v>
      </c>
      <c r="O49" s="28">
        <v>1530</v>
      </c>
      <c r="P49" s="28">
        <v>404.18</v>
      </c>
      <c r="Q49" s="72" t="str">
        <f>IF(retail_store_performance_dashbo!$P49&gt;0,"Profit",IF(retail_store_performance_dashbo!$P49&lt;0,"Loss","Break Even"))</f>
        <v>Profit</v>
      </c>
      <c r="R49" s="62" t="str" cm="1">
        <f t="array" ref="R49">_xlfn.IFS(L49=0,"No Discount",L49&lt;=5,"Low Discount",L49&lt;=10,"Medium Discount",L49&lt;=20,"High Discount")</f>
        <v>Low Discount</v>
      </c>
      <c r="S49" s="26" t="s">
        <v>70</v>
      </c>
      <c r="T49" s="26" t="s">
        <v>36</v>
      </c>
      <c r="U49" s="29">
        <v>4.9000000000000004</v>
      </c>
      <c r="V49" s="75" t="str" cm="1">
        <f t="array" ref="V49">_xlfn.IFS(U49=0,"Not Rated",U49&gt;=4.5,"High Rating",U49&gt;=3,"Medium Rating",U49&lt;3,"Low Rating")</f>
        <v>High Rating</v>
      </c>
    </row>
    <row r="50" spans="1:22" x14ac:dyDescent="0.3">
      <c r="A50" s="18" t="s">
        <v>325</v>
      </c>
      <c r="B50" s="19">
        <v>46038</v>
      </c>
      <c r="C50" s="20" t="s">
        <v>38</v>
      </c>
      <c r="D50" s="20" t="s">
        <v>39</v>
      </c>
      <c r="E50" s="20" t="s">
        <v>39</v>
      </c>
      <c r="F50" s="20" t="s">
        <v>32</v>
      </c>
      <c r="G50" s="20" t="s">
        <v>40</v>
      </c>
      <c r="H50" s="20" t="s">
        <v>24</v>
      </c>
      <c r="I50" s="20" t="s">
        <v>34</v>
      </c>
      <c r="J50" s="21">
        <v>6</v>
      </c>
      <c r="K50" s="22">
        <v>1882.66</v>
      </c>
      <c r="L50" s="21">
        <v>10</v>
      </c>
      <c r="M50" s="22">
        <f t="shared" si="0"/>
        <v>1129.596</v>
      </c>
      <c r="N50" s="22">
        <v>10166.36</v>
      </c>
      <c r="O50" s="22">
        <v>6300</v>
      </c>
      <c r="P50" s="22">
        <v>3866.36</v>
      </c>
      <c r="Q50" s="62" t="str">
        <f>IF(retail_store_performance_dashbo!$P50&gt;0,"Profit",IF(retail_store_performance_dashbo!$P50&lt;0,"Loss","Break Even"))</f>
        <v>Profit</v>
      </c>
      <c r="R50" s="62" t="str" cm="1">
        <f t="array" ref="R50">_xlfn.IFS(L50=0,"No Discount",L50&lt;=5,"Low Discount",L50&lt;=10,"Medium Discount",L50&lt;=20,"High Discount")</f>
        <v>Medium Discount</v>
      </c>
      <c r="S50" s="20" t="s">
        <v>70</v>
      </c>
      <c r="T50" s="20" t="s">
        <v>36</v>
      </c>
      <c r="U50" s="23">
        <v>4.9000000000000004</v>
      </c>
      <c r="V50" s="75" t="str" cm="1">
        <f t="array" ref="V50">_xlfn.IFS(U50=0,"Not Rated",U50&gt;=4.5,"High Rating",U50&gt;=3,"Medium Rating",U50&lt;3,"Low Rating")</f>
        <v>High Rating</v>
      </c>
    </row>
    <row r="51" spans="1:22" x14ac:dyDescent="0.3">
      <c r="A51" s="24" t="s">
        <v>446</v>
      </c>
      <c r="B51" s="25">
        <v>46038</v>
      </c>
      <c r="C51" s="26" t="s">
        <v>38</v>
      </c>
      <c r="D51" s="26" t="s">
        <v>39</v>
      </c>
      <c r="E51" s="26" t="s">
        <v>39</v>
      </c>
      <c r="F51" s="26" t="s">
        <v>32</v>
      </c>
      <c r="G51" s="26" t="s">
        <v>40</v>
      </c>
      <c r="H51" s="26" t="s">
        <v>41</v>
      </c>
      <c r="I51" s="26" t="s">
        <v>42</v>
      </c>
      <c r="J51" s="27">
        <v>1</v>
      </c>
      <c r="K51" s="28">
        <v>4523.96</v>
      </c>
      <c r="L51" s="27">
        <v>20</v>
      </c>
      <c r="M51" s="22">
        <f t="shared" si="0"/>
        <v>904.79199999999992</v>
      </c>
      <c r="N51" s="28">
        <v>3619.17</v>
      </c>
      <c r="O51" s="28">
        <v>2900</v>
      </c>
      <c r="P51" s="28">
        <v>719.17</v>
      </c>
      <c r="Q51" s="72" t="str">
        <f>IF(retail_store_performance_dashbo!$P51&gt;0,"Profit",IF(retail_store_performance_dashbo!$P51&lt;0,"Loss","Break Even"))</f>
        <v>Profit</v>
      </c>
      <c r="R51" s="62" t="str" cm="1">
        <f t="array" ref="R51">_xlfn.IFS(L51=0,"No Discount",L51&lt;=5,"Low Discount",L51&lt;=10,"Medium Discount",L51&lt;=20,"High Discount")</f>
        <v>High Discount</v>
      </c>
      <c r="S51" s="26" t="s">
        <v>43</v>
      </c>
      <c r="T51" s="26" t="s">
        <v>36</v>
      </c>
      <c r="U51" s="29">
        <v>3.5</v>
      </c>
      <c r="V51" s="75" t="str" cm="1">
        <f t="array" ref="V51">_xlfn.IFS(U51=0,"Not Rated",U51&gt;=4.5,"High Rating",U51&gt;=3,"Medium Rating",U51&lt;3,"Low Rating")</f>
        <v>Medium Rating</v>
      </c>
    </row>
    <row r="52" spans="1:22" x14ac:dyDescent="0.3">
      <c r="A52" s="18" t="s">
        <v>569</v>
      </c>
      <c r="B52" s="19">
        <v>46039</v>
      </c>
      <c r="C52" s="20" t="s">
        <v>51</v>
      </c>
      <c r="D52" s="20" t="s">
        <v>52</v>
      </c>
      <c r="E52" s="20" t="s">
        <v>53</v>
      </c>
      <c r="F52" s="20" t="s">
        <v>54</v>
      </c>
      <c r="G52" s="20" t="s">
        <v>55</v>
      </c>
      <c r="H52" s="20" t="s">
        <v>41</v>
      </c>
      <c r="I52" s="20" t="s">
        <v>92</v>
      </c>
      <c r="J52" s="21">
        <v>6</v>
      </c>
      <c r="K52" s="22">
        <v>52856.36</v>
      </c>
      <c r="L52" s="21">
        <v>20</v>
      </c>
      <c r="M52" s="22">
        <f t="shared" si="0"/>
        <v>63427.632000000012</v>
      </c>
      <c r="N52" s="22">
        <v>253710.53</v>
      </c>
      <c r="O52" s="22">
        <v>252000</v>
      </c>
      <c r="P52" s="22">
        <v>1710.53</v>
      </c>
      <c r="Q52" s="62" t="str">
        <f>IF(retail_store_performance_dashbo!$P52&gt;0,"Profit",IF(retail_store_performance_dashbo!$P52&lt;0,"Loss","Break Even"))</f>
        <v>Profit</v>
      </c>
      <c r="R52" s="62" t="str" cm="1">
        <f t="array" ref="R52">_xlfn.IFS(L52=0,"No Discount",L52&lt;=5,"Low Discount",L52&lt;=10,"Medium Discount",L52&lt;=20,"High Discount")</f>
        <v>High Discount</v>
      </c>
      <c r="S52" s="20" t="s">
        <v>26</v>
      </c>
      <c r="T52" s="20" t="s">
        <v>36</v>
      </c>
      <c r="U52" s="23">
        <v>3.7</v>
      </c>
      <c r="V52" s="75" t="str" cm="1">
        <f t="array" ref="V52">_xlfn.IFS(U52=0,"Not Rated",U52&gt;=4.5,"High Rating",U52&gt;=3,"Medium Rating",U52&lt;3,"Low Rating")</f>
        <v>Medium Rating</v>
      </c>
    </row>
    <row r="53" spans="1:22" x14ac:dyDescent="0.3">
      <c r="A53" s="24" t="s">
        <v>361</v>
      </c>
      <c r="B53" s="25">
        <v>46041</v>
      </c>
      <c r="C53" s="26" t="s">
        <v>19</v>
      </c>
      <c r="D53" s="26" t="s">
        <v>20</v>
      </c>
      <c r="E53" s="26" t="s">
        <v>21</v>
      </c>
      <c r="F53" s="26" t="s">
        <v>22</v>
      </c>
      <c r="G53" s="26" t="s">
        <v>23</v>
      </c>
      <c r="H53" s="26" t="s">
        <v>24</v>
      </c>
      <c r="I53" s="26" t="s">
        <v>75</v>
      </c>
      <c r="J53" s="27">
        <v>4</v>
      </c>
      <c r="K53" s="28">
        <v>445.26</v>
      </c>
      <c r="L53" s="27">
        <v>20</v>
      </c>
      <c r="M53" s="22">
        <f t="shared" si="0"/>
        <v>356.20800000000003</v>
      </c>
      <c r="N53" s="28">
        <v>1424.83</v>
      </c>
      <c r="O53" s="28">
        <v>1160</v>
      </c>
      <c r="P53" s="28">
        <v>264.83</v>
      </c>
      <c r="Q53" s="72" t="str">
        <f>IF(retail_store_performance_dashbo!$P53&gt;0,"Profit",IF(retail_store_performance_dashbo!$P53&lt;0,"Loss","Break Even"))</f>
        <v>Profit</v>
      </c>
      <c r="R53" s="62" t="str" cm="1">
        <f t="array" ref="R53">_xlfn.IFS(L53=0,"No Discount",L53&lt;=5,"Low Discount",L53&lt;=10,"Medium Discount",L53&lt;=20,"High Discount")</f>
        <v>High Discount</v>
      </c>
      <c r="S53" s="26" t="s">
        <v>35</v>
      </c>
      <c r="T53" s="26" t="s">
        <v>36</v>
      </c>
      <c r="U53" s="29">
        <v>3.3</v>
      </c>
      <c r="V53" s="75" t="str" cm="1">
        <f t="array" ref="V53">_xlfn.IFS(U53=0,"Not Rated",U53&gt;=4.5,"High Rating",U53&gt;=3,"Medium Rating",U53&lt;3,"Low Rating")</f>
        <v>Medium Rating</v>
      </c>
    </row>
    <row r="54" spans="1:22" x14ac:dyDescent="0.3">
      <c r="A54" s="18" t="s">
        <v>526</v>
      </c>
      <c r="B54" s="19">
        <v>46041</v>
      </c>
      <c r="C54" s="20" t="s">
        <v>146</v>
      </c>
      <c r="D54" s="20" t="s">
        <v>147</v>
      </c>
      <c r="E54" s="20" t="s">
        <v>148</v>
      </c>
      <c r="F54" s="20" t="s">
        <v>22</v>
      </c>
      <c r="G54" s="20" t="s">
        <v>149</v>
      </c>
      <c r="H54" s="20" t="s">
        <v>45</v>
      </c>
      <c r="I54" s="20" t="s">
        <v>101</v>
      </c>
      <c r="J54" s="21">
        <v>1</v>
      </c>
      <c r="K54" s="22">
        <v>1790</v>
      </c>
      <c r="L54" s="21">
        <v>10</v>
      </c>
      <c r="M54" s="22">
        <f t="shared" si="0"/>
        <v>179</v>
      </c>
      <c r="N54" s="22">
        <v>1611</v>
      </c>
      <c r="O54" s="22">
        <v>1050</v>
      </c>
      <c r="P54" s="22">
        <v>561</v>
      </c>
      <c r="Q54" s="62" t="str">
        <f>IF(retail_store_performance_dashbo!$P54&gt;0,"Profit",IF(retail_store_performance_dashbo!$P54&lt;0,"Loss","Break Even"))</f>
        <v>Profit</v>
      </c>
      <c r="R54" s="62" t="str" cm="1">
        <f t="array" ref="R54">_xlfn.IFS(L54=0,"No Discount",L54&lt;=5,"Low Discount",L54&lt;=10,"Medium Discount",L54&lt;=20,"High Discount")</f>
        <v>Medium Discount</v>
      </c>
      <c r="S54" s="20" t="s">
        <v>43</v>
      </c>
      <c r="T54" s="20" t="s">
        <v>36</v>
      </c>
      <c r="U54" s="23">
        <v>3.8</v>
      </c>
      <c r="V54" s="75" t="str" cm="1">
        <f t="array" ref="V54">_xlfn.IFS(U54=0,"Not Rated",U54&gt;=4.5,"High Rating",U54&gt;=3,"Medium Rating",U54&lt;3,"Low Rating")</f>
        <v>Medium Rating</v>
      </c>
    </row>
    <row r="55" spans="1:22" x14ac:dyDescent="0.3">
      <c r="A55" s="24" t="s">
        <v>320</v>
      </c>
      <c r="B55" s="25">
        <v>46042</v>
      </c>
      <c r="C55" s="26" t="s">
        <v>77</v>
      </c>
      <c r="D55" s="26" t="s">
        <v>78</v>
      </c>
      <c r="E55" s="26" t="s">
        <v>79</v>
      </c>
      <c r="F55" s="26" t="s">
        <v>80</v>
      </c>
      <c r="G55" s="26" t="s">
        <v>81</v>
      </c>
      <c r="H55" s="26" t="s">
        <v>48</v>
      </c>
      <c r="I55" s="26" t="s">
        <v>56</v>
      </c>
      <c r="J55" s="27">
        <v>5</v>
      </c>
      <c r="K55" s="28">
        <v>104.51</v>
      </c>
      <c r="L55" s="27">
        <v>10</v>
      </c>
      <c r="M55" s="22">
        <f t="shared" si="0"/>
        <v>52.25500000000001</v>
      </c>
      <c r="N55" s="28">
        <v>470.3</v>
      </c>
      <c r="O55" s="28">
        <v>360</v>
      </c>
      <c r="P55" s="28">
        <v>110.3</v>
      </c>
      <c r="Q55" s="72" t="str">
        <f>IF(retail_store_performance_dashbo!$P55&gt;0,"Profit",IF(retail_store_performance_dashbo!$P55&lt;0,"Loss","Break Even"))</f>
        <v>Profit</v>
      </c>
      <c r="R55" s="62" t="str" cm="1">
        <f t="array" ref="R55">_xlfn.IFS(L55=0,"No Discount",L55&lt;=5,"Low Discount",L55&lt;=10,"Medium Discount",L55&lt;=20,"High Discount")</f>
        <v>Medium Discount</v>
      </c>
      <c r="S55" s="26" t="s">
        <v>26</v>
      </c>
      <c r="T55" s="26" t="s">
        <v>36</v>
      </c>
      <c r="U55" s="29">
        <v>4.7</v>
      </c>
      <c r="V55" s="75" t="str" cm="1">
        <f t="array" ref="V55">_xlfn.IFS(U55=0,"Not Rated",U55&gt;=4.5,"High Rating",U55&gt;=3,"Medium Rating",U55&lt;3,"Low Rating")</f>
        <v>High Rating</v>
      </c>
    </row>
    <row r="56" spans="1:22" x14ac:dyDescent="0.3">
      <c r="A56" s="18" t="s">
        <v>339</v>
      </c>
      <c r="B56" s="19">
        <v>46042</v>
      </c>
      <c r="C56" s="20" t="s">
        <v>29</v>
      </c>
      <c r="D56" s="20" t="s">
        <v>30</v>
      </c>
      <c r="E56" s="20" t="s">
        <v>31</v>
      </c>
      <c r="F56" s="20" t="s">
        <v>32</v>
      </c>
      <c r="G56" s="20" t="s">
        <v>33</v>
      </c>
      <c r="H56" s="20" t="s">
        <v>41</v>
      </c>
      <c r="I56" s="20" t="s">
        <v>135</v>
      </c>
      <c r="J56" s="21">
        <v>2</v>
      </c>
      <c r="K56" s="22">
        <v>1827.23</v>
      </c>
      <c r="L56" s="21">
        <v>10</v>
      </c>
      <c r="M56" s="22">
        <f t="shared" si="0"/>
        <v>365.44599999999997</v>
      </c>
      <c r="N56" s="22">
        <v>3289.01</v>
      </c>
      <c r="O56" s="22">
        <v>2200</v>
      </c>
      <c r="P56" s="22">
        <v>1089.01</v>
      </c>
      <c r="Q56" s="62" t="str">
        <f>IF(retail_store_performance_dashbo!$P56&gt;0,"Profit",IF(retail_store_performance_dashbo!$P56&lt;0,"Loss","Break Even"))</f>
        <v>Profit</v>
      </c>
      <c r="R56" s="62" t="str" cm="1">
        <f t="array" ref="R56">_xlfn.IFS(L56=0,"No Discount",L56&lt;=5,"Low Discount",L56&lt;=10,"Medium Discount",L56&lt;=20,"High Discount")</f>
        <v>Medium Discount</v>
      </c>
      <c r="S56" s="20" t="s">
        <v>43</v>
      </c>
      <c r="T56" s="20" t="s">
        <v>36</v>
      </c>
      <c r="U56" s="23">
        <v>4.8</v>
      </c>
      <c r="V56" s="75" t="str" cm="1">
        <f t="array" ref="V56">_xlfn.IFS(U56=0,"Not Rated",U56&gt;=4.5,"High Rating",U56&gt;=3,"Medium Rating",U56&lt;3,"Low Rating")</f>
        <v>High Rating</v>
      </c>
    </row>
    <row r="57" spans="1:22" x14ac:dyDescent="0.3">
      <c r="A57" s="24" t="s">
        <v>372</v>
      </c>
      <c r="B57" s="25">
        <v>46043</v>
      </c>
      <c r="C57" s="26" t="s">
        <v>19</v>
      </c>
      <c r="D57" s="26" t="s">
        <v>20</v>
      </c>
      <c r="E57" s="26" t="s">
        <v>21</v>
      </c>
      <c r="F57" s="26" t="s">
        <v>22</v>
      </c>
      <c r="G57" s="26" t="s">
        <v>23</v>
      </c>
      <c r="H57" s="26" t="s">
        <v>48</v>
      </c>
      <c r="I57" s="26" t="s">
        <v>56</v>
      </c>
      <c r="J57" s="27">
        <v>5</v>
      </c>
      <c r="K57" s="28">
        <v>101.35</v>
      </c>
      <c r="L57" s="27">
        <v>5</v>
      </c>
      <c r="M57" s="22">
        <f t="shared" si="0"/>
        <v>25.337499999999999</v>
      </c>
      <c r="N57" s="28">
        <v>481.41</v>
      </c>
      <c r="O57" s="28">
        <v>360</v>
      </c>
      <c r="P57" s="28">
        <v>121.41</v>
      </c>
      <c r="Q57" s="72" t="str">
        <f>IF(retail_store_performance_dashbo!$P57&gt;0,"Profit",IF(retail_store_performance_dashbo!$P57&lt;0,"Loss","Break Even"))</f>
        <v>Profit</v>
      </c>
      <c r="R57" s="62" t="str" cm="1">
        <f t="array" ref="R57">_xlfn.IFS(L57=0,"No Discount",L57&lt;=5,"Low Discount",L57&lt;=10,"Medium Discount",L57&lt;=20,"High Discount")</f>
        <v>Low Discount</v>
      </c>
      <c r="S57" s="26" t="s">
        <v>26</v>
      </c>
      <c r="T57" s="26" t="s">
        <v>36</v>
      </c>
      <c r="U57" s="29">
        <v>4.9000000000000004</v>
      </c>
      <c r="V57" s="75" t="str" cm="1">
        <f t="array" ref="V57">_xlfn.IFS(U57=0,"Not Rated",U57&gt;=4.5,"High Rating",U57&gt;=3,"Medium Rating",U57&lt;3,"Low Rating")</f>
        <v>High Rating</v>
      </c>
    </row>
    <row r="58" spans="1:22" x14ac:dyDescent="0.3">
      <c r="A58" s="18" t="s">
        <v>130</v>
      </c>
      <c r="B58" s="19">
        <v>46044</v>
      </c>
      <c r="C58" s="20" t="s">
        <v>97</v>
      </c>
      <c r="D58" s="20" t="s">
        <v>98</v>
      </c>
      <c r="E58" s="20" t="s">
        <v>99</v>
      </c>
      <c r="F58" s="20" t="s">
        <v>54</v>
      </c>
      <c r="G58" s="20" t="s">
        <v>100</v>
      </c>
      <c r="H58" s="20" t="s">
        <v>58</v>
      </c>
      <c r="I58" s="20" t="s">
        <v>72</v>
      </c>
      <c r="J58" s="21">
        <v>3</v>
      </c>
      <c r="K58" s="22">
        <v>3818.05</v>
      </c>
      <c r="L58" s="21">
        <v>10</v>
      </c>
      <c r="M58" s="22">
        <f t="shared" si="0"/>
        <v>1145.4150000000002</v>
      </c>
      <c r="N58" s="22">
        <v>10308.74</v>
      </c>
      <c r="O58" s="22">
        <v>8100</v>
      </c>
      <c r="P58" s="22">
        <v>2208.7399999999998</v>
      </c>
      <c r="Q58" s="62" t="str">
        <f>IF(retail_store_performance_dashbo!$P58&gt;0,"Profit",IF(retail_store_performance_dashbo!$P58&lt;0,"Loss","Break Even"))</f>
        <v>Profit</v>
      </c>
      <c r="R58" s="62" t="str" cm="1">
        <f t="array" ref="R58">_xlfn.IFS(L58=0,"No Discount",L58&lt;=5,"Low Discount",L58&lt;=10,"Medium Discount",L58&lt;=20,"High Discount")</f>
        <v>Medium Discount</v>
      </c>
      <c r="S58" s="20" t="s">
        <v>35</v>
      </c>
      <c r="T58" s="20" t="s">
        <v>36</v>
      </c>
      <c r="U58" s="23">
        <v>4.2</v>
      </c>
      <c r="V58" s="75" t="str" cm="1">
        <f t="array" ref="V58">_xlfn.IFS(U58=0,"Not Rated",U58&gt;=4.5,"High Rating",U58&gt;=3,"Medium Rating",U58&lt;3,"Low Rating")</f>
        <v>Medium Rating</v>
      </c>
    </row>
    <row r="59" spans="1:22" x14ac:dyDescent="0.3">
      <c r="A59" s="24" t="s">
        <v>298</v>
      </c>
      <c r="B59" s="25">
        <v>46045</v>
      </c>
      <c r="C59" s="26" t="s">
        <v>146</v>
      </c>
      <c r="D59" s="26" t="s">
        <v>147</v>
      </c>
      <c r="E59" s="26" t="s">
        <v>148</v>
      </c>
      <c r="F59" s="26" t="s">
        <v>22</v>
      </c>
      <c r="G59" s="26" t="s">
        <v>149</v>
      </c>
      <c r="H59" s="26" t="s">
        <v>24</v>
      </c>
      <c r="I59" s="26" t="s">
        <v>66</v>
      </c>
      <c r="J59" s="27">
        <v>2</v>
      </c>
      <c r="K59" s="28">
        <v>544.02</v>
      </c>
      <c r="L59" s="27">
        <v>0</v>
      </c>
      <c r="M59" s="22">
        <f t="shared" si="0"/>
        <v>0</v>
      </c>
      <c r="N59" s="28">
        <v>1088.04</v>
      </c>
      <c r="O59" s="28">
        <v>680</v>
      </c>
      <c r="P59" s="28">
        <v>408.04</v>
      </c>
      <c r="Q59" s="72" t="str">
        <f>IF(retail_store_performance_dashbo!$P59&gt;0,"Profit",IF(retail_store_performance_dashbo!$P59&lt;0,"Loss","Break Even"))</f>
        <v>Profit</v>
      </c>
      <c r="R59" s="62" t="str" cm="1">
        <f t="array" ref="R59">_xlfn.IFS(L59=0,"No Discount",L59&lt;=5,"Low Discount",L59&lt;=10,"Medium Discount",L59&lt;=20,"High Discount")</f>
        <v>No Discount</v>
      </c>
      <c r="S59" s="26" t="s">
        <v>70</v>
      </c>
      <c r="T59" s="26" t="s">
        <v>36</v>
      </c>
      <c r="U59" s="29">
        <v>3.7</v>
      </c>
      <c r="V59" s="75" t="str" cm="1">
        <f t="array" ref="V59">_xlfn.IFS(U59=0,"Not Rated",U59&gt;=4.5,"High Rating",U59&gt;=3,"Medium Rating",U59&lt;3,"Low Rating")</f>
        <v>Medium Rating</v>
      </c>
    </row>
    <row r="60" spans="1:22" x14ac:dyDescent="0.3">
      <c r="A60" s="18" t="s">
        <v>373</v>
      </c>
      <c r="B60" s="19">
        <v>46045</v>
      </c>
      <c r="C60" s="20" t="s">
        <v>61</v>
      </c>
      <c r="D60" s="20" t="s">
        <v>62</v>
      </c>
      <c r="E60" s="20" t="s">
        <v>63</v>
      </c>
      <c r="F60" s="20" t="s">
        <v>22</v>
      </c>
      <c r="G60" s="20" t="s">
        <v>64</v>
      </c>
      <c r="H60" s="20" t="s">
        <v>41</v>
      </c>
      <c r="I60" s="20" t="s">
        <v>92</v>
      </c>
      <c r="J60" s="21">
        <v>6</v>
      </c>
      <c r="K60" s="22">
        <v>53315.63</v>
      </c>
      <c r="L60" s="21">
        <v>15</v>
      </c>
      <c r="M60" s="22">
        <f t="shared" si="0"/>
        <v>47984.066999999995</v>
      </c>
      <c r="N60" s="22">
        <v>271909.71000000002</v>
      </c>
      <c r="O60" s="22">
        <v>252000</v>
      </c>
      <c r="P60" s="22">
        <v>19909.71</v>
      </c>
      <c r="Q60" s="62" t="str">
        <f>IF(retail_store_performance_dashbo!$P60&gt;0,"Profit",IF(retail_store_performance_dashbo!$P60&lt;0,"Loss","Break Even"))</f>
        <v>Profit</v>
      </c>
      <c r="R60" s="62" t="str" cm="1">
        <f t="array" ref="R60">_xlfn.IFS(L60=0,"No Discount",L60&lt;=5,"Low Discount",L60&lt;=10,"Medium Discount",L60&lt;=20,"High Discount")</f>
        <v>High Discount</v>
      </c>
      <c r="S60" s="20" t="s">
        <v>26</v>
      </c>
      <c r="T60" s="20" t="s">
        <v>36</v>
      </c>
      <c r="U60" s="23">
        <v>3.4</v>
      </c>
      <c r="V60" s="75" t="str" cm="1">
        <f t="array" ref="V60">_xlfn.IFS(U60=0,"Not Rated",U60&gt;=4.5,"High Rating",U60&gt;=3,"Medium Rating",U60&lt;3,"Low Rating")</f>
        <v>Medium Rating</v>
      </c>
    </row>
    <row r="61" spans="1:22" x14ac:dyDescent="0.3">
      <c r="A61" s="24" t="s">
        <v>414</v>
      </c>
      <c r="B61" s="25">
        <v>46045</v>
      </c>
      <c r="C61" s="26" t="s">
        <v>61</v>
      </c>
      <c r="D61" s="26" t="s">
        <v>62</v>
      </c>
      <c r="E61" s="26" t="s">
        <v>63</v>
      </c>
      <c r="F61" s="26" t="s">
        <v>22</v>
      </c>
      <c r="G61" s="26" t="s">
        <v>64</v>
      </c>
      <c r="H61" s="26" t="s">
        <v>45</v>
      </c>
      <c r="I61" s="26" t="s">
        <v>88</v>
      </c>
      <c r="J61" s="27">
        <v>1</v>
      </c>
      <c r="K61" s="28">
        <v>891.49</v>
      </c>
      <c r="L61" s="27">
        <v>5</v>
      </c>
      <c r="M61" s="22">
        <f t="shared" si="0"/>
        <v>44.5745</v>
      </c>
      <c r="N61" s="28">
        <v>846.92</v>
      </c>
      <c r="O61" s="28">
        <v>500</v>
      </c>
      <c r="P61" s="28">
        <v>346.92</v>
      </c>
      <c r="Q61" s="72" t="str">
        <f>IF(retail_store_performance_dashbo!$P61&gt;0,"Profit",IF(retail_store_performance_dashbo!$P61&lt;0,"Loss","Break Even"))</f>
        <v>Profit</v>
      </c>
      <c r="R61" s="62" t="str" cm="1">
        <f t="array" ref="R61">_xlfn.IFS(L61=0,"No Discount",L61&lt;=5,"Low Discount",L61&lt;=10,"Medium Discount",L61&lt;=20,"High Discount")</f>
        <v>Low Discount</v>
      </c>
      <c r="S61" s="26" t="s">
        <v>43</v>
      </c>
      <c r="T61" s="26" t="s">
        <v>36</v>
      </c>
      <c r="U61" s="29">
        <v>4.5999999999999996</v>
      </c>
      <c r="V61" s="75" t="str" cm="1">
        <f t="array" ref="V61">_xlfn.IFS(U61=0,"Not Rated",U61&gt;=4.5,"High Rating",U61&gt;=3,"Medium Rating",U61&lt;3,"Low Rating")</f>
        <v>High Rating</v>
      </c>
    </row>
    <row r="62" spans="1:22" x14ac:dyDescent="0.3">
      <c r="A62" s="18" t="s">
        <v>426</v>
      </c>
      <c r="B62" s="19">
        <v>46045</v>
      </c>
      <c r="C62" s="20" t="s">
        <v>77</v>
      </c>
      <c r="D62" s="20" t="s">
        <v>78</v>
      </c>
      <c r="E62" s="20" t="s">
        <v>79</v>
      </c>
      <c r="F62" s="20" t="s">
        <v>80</v>
      </c>
      <c r="G62" s="20" t="s">
        <v>81</v>
      </c>
      <c r="H62" s="20" t="s">
        <v>58</v>
      </c>
      <c r="I62" s="20" t="s">
        <v>59</v>
      </c>
      <c r="J62" s="21">
        <v>3</v>
      </c>
      <c r="K62" s="22">
        <v>5171.8900000000003</v>
      </c>
      <c r="L62" s="21">
        <v>0</v>
      </c>
      <c r="M62" s="22">
        <f t="shared" si="0"/>
        <v>0</v>
      </c>
      <c r="N62" s="22">
        <v>15515.67</v>
      </c>
      <c r="O62" s="22">
        <v>10800</v>
      </c>
      <c r="P62" s="22">
        <v>4715.67</v>
      </c>
      <c r="Q62" s="62" t="str">
        <f>IF(retail_store_performance_dashbo!$P62&gt;0,"Profit",IF(retail_store_performance_dashbo!$P62&lt;0,"Loss","Break Even"))</f>
        <v>Profit</v>
      </c>
      <c r="R62" s="62" t="str" cm="1">
        <f t="array" ref="R62">_xlfn.IFS(L62=0,"No Discount",L62&lt;=5,"Low Discount",L62&lt;=10,"Medium Discount",L62&lt;=20,"High Discount")</f>
        <v>No Discount</v>
      </c>
      <c r="S62" s="20" t="s">
        <v>70</v>
      </c>
      <c r="T62" s="20" t="s">
        <v>36</v>
      </c>
      <c r="U62" s="23">
        <v>4.8</v>
      </c>
      <c r="V62" s="75" t="str" cm="1">
        <f t="array" ref="V62">_xlfn.IFS(U62=0,"Not Rated",U62&gt;=4.5,"High Rating",U62&gt;=3,"Medium Rating",U62&lt;3,"Low Rating")</f>
        <v>High Rating</v>
      </c>
    </row>
    <row r="63" spans="1:22" x14ac:dyDescent="0.3">
      <c r="A63" s="24" t="s">
        <v>485</v>
      </c>
      <c r="B63" s="25">
        <v>46045</v>
      </c>
      <c r="C63" s="26" t="s">
        <v>51</v>
      </c>
      <c r="D63" s="26" t="s">
        <v>52</v>
      </c>
      <c r="E63" s="26" t="s">
        <v>53</v>
      </c>
      <c r="F63" s="26" t="s">
        <v>54</v>
      </c>
      <c r="G63" s="26" t="s">
        <v>55</v>
      </c>
      <c r="H63" s="26" t="s">
        <v>24</v>
      </c>
      <c r="I63" s="26" t="s">
        <v>75</v>
      </c>
      <c r="J63" s="27">
        <v>1</v>
      </c>
      <c r="K63" s="28">
        <v>441.44</v>
      </c>
      <c r="L63" s="27">
        <v>10</v>
      </c>
      <c r="M63" s="22">
        <f t="shared" si="0"/>
        <v>44.143999999999998</v>
      </c>
      <c r="N63" s="28">
        <v>397.3</v>
      </c>
      <c r="O63" s="28">
        <v>290</v>
      </c>
      <c r="P63" s="28">
        <v>107.3</v>
      </c>
      <c r="Q63" s="72" t="str">
        <f>IF(retail_store_performance_dashbo!$P63&gt;0,"Profit",IF(retail_store_performance_dashbo!$P63&lt;0,"Loss","Break Even"))</f>
        <v>Profit</v>
      </c>
      <c r="R63" s="62" t="str" cm="1">
        <f t="array" ref="R63">_xlfn.IFS(L63=0,"No Discount",L63&lt;=5,"Low Discount",L63&lt;=10,"Medium Discount",L63&lt;=20,"High Discount")</f>
        <v>Medium Discount</v>
      </c>
      <c r="S63" s="26" t="s">
        <v>70</v>
      </c>
      <c r="T63" s="26" t="s">
        <v>36</v>
      </c>
      <c r="U63" s="29">
        <v>3.6</v>
      </c>
      <c r="V63" s="75" t="str" cm="1">
        <f t="array" ref="V63">_xlfn.IFS(U63=0,"Not Rated",U63&gt;=4.5,"High Rating",U63&gt;=3,"Medium Rating",U63&lt;3,"Low Rating")</f>
        <v>Medium Rating</v>
      </c>
    </row>
    <row r="64" spans="1:22" x14ac:dyDescent="0.3">
      <c r="A64" s="18" t="s">
        <v>237</v>
      </c>
      <c r="B64" s="19">
        <v>46046</v>
      </c>
      <c r="C64" s="20" t="s">
        <v>77</v>
      </c>
      <c r="D64" s="20" t="s">
        <v>78</v>
      </c>
      <c r="E64" s="20" t="s">
        <v>79</v>
      </c>
      <c r="F64" s="20" t="s">
        <v>80</v>
      </c>
      <c r="G64" s="20" t="s">
        <v>81</v>
      </c>
      <c r="H64" s="20" t="s">
        <v>24</v>
      </c>
      <c r="I64" s="20" t="s">
        <v>75</v>
      </c>
      <c r="J64" s="21">
        <v>5</v>
      </c>
      <c r="K64" s="22">
        <v>432.5</v>
      </c>
      <c r="L64" s="21">
        <v>0</v>
      </c>
      <c r="M64" s="22">
        <f t="shared" si="0"/>
        <v>0</v>
      </c>
      <c r="N64" s="22">
        <v>2162.5</v>
      </c>
      <c r="O64" s="22">
        <v>1450</v>
      </c>
      <c r="P64" s="22">
        <v>712.5</v>
      </c>
      <c r="Q64" s="62" t="str">
        <f>IF(retail_store_performance_dashbo!$P64&gt;0,"Profit",IF(retail_store_performance_dashbo!$P64&lt;0,"Loss","Break Even"))</f>
        <v>Profit</v>
      </c>
      <c r="R64" s="62" t="str" cm="1">
        <f t="array" ref="R64">_xlfn.IFS(L64=0,"No Discount",L64&lt;=5,"Low Discount",L64&lt;=10,"Medium Discount",L64&lt;=20,"High Discount")</f>
        <v>No Discount</v>
      </c>
      <c r="S64" s="20" t="s">
        <v>70</v>
      </c>
      <c r="T64" s="20" t="s">
        <v>36</v>
      </c>
      <c r="U64" s="23">
        <v>3.9</v>
      </c>
      <c r="V64" s="75" t="str" cm="1">
        <f t="array" ref="V64">_xlfn.IFS(U64=0,"Not Rated",U64&gt;=4.5,"High Rating",U64&gt;=3,"Medium Rating",U64&lt;3,"Low Rating")</f>
        <v>Medium Rating</v>
      </c>
    </row>
    <row r="65" spans="1:22" x14ac:dyDescent="0.3">
      <c r="A65" s="24" t="s">
        <v>474</v>
      </c>
      <c r="B65" s="25">
        <v>46046</v>
      </c>
      <c r="C65" s="26" t="s">
        <v>77</v>
      </c>
      <c r="D65" s="26" t="s">
        <v>78</v>
      </c>
      <c r="E65" s="26" t="s">
        <v>79</v>
      </c>
      <c r="F65" s="26" t="s">
        <v>80</v>
      </c>
      <c r="G65" s="26" t="s">
        <v>81</v>
      </c>
      <c r="H65" s="26" t="s">
        <v>48</v>
      </c>
      <c r="I65" s="26" t="s">
        <v>109</v>
      </c>
      <c r="J65" s="27">
        <v>6</v>
      </c>
      <c r="K65" s="28">
        <v>644.80999999999995</v>
      </c>
      <c r="L65" s="27">
        <v>5</v>
      </c>
      <c r="M65" s="22">
        <f t="shared" si="0"/>
        <v>193.44299999999998</v>
      </c>
      <c r="N65" s="28">
        <v>3675.42</v>
      </c>
      <c r="O65" s="28">
        <v>3060</v>
      </c>
      <c r="P65" s="28">
        <v>615.41999999999996</v>
      </c>
      <c r="Q65" s="72" t="str">
        <f>IF(retail_store_performance_dashbo!$P65&gt;0,"Profit",IF(retail_store_performance_dashbo!$P65&lt;0,"Loss","Break Even"))</f>
        <v>Profit</v>
      </c>
      <c r="R65" s="62" t="str" cm="1">
        <f t="array" ref="R65">_xlfn.IFS(L65=0,"No Discount",L65&lt;=5,"Low Discount",L65&lt;=10,"Medium Discount",L65&lt;=20,"High Discount")</f>
        <v>Low Discount</v>
      </c>
      <c r="S65" s="26" t="s">
        <v>26</v>
      </c>
      <c r="T65" s="26" t="s">
        <v>36</v>
      </c>
      <c r="U65" s="29">
        <v>4.8</v>
      </c>
      <c r="V65" s="75" t="str" cm="1">
        <f t="array" ref="V65">_xlfn.IFS(U65=0,"Not Rated",U65&gt;=4.5,"High Rating",U65&gt;=3,"Medium Rating",U65&lt;3,"Low Rating")</f>
        <v>High Rating</v>
      </c>
    </row>
    <row r="66" spans="1:22" x14ac:dyDescent="0.3">
      <c r="A66" s="18" t="s">
        <v>536</v>
      </c>
      <c r="B66" s="19">
        <v>46048</v>
      </c>
      <c r="C66" s="20" t="s">
        <v>97</v>
      </c>
      <c r="D66" s="20" t="s">
        <v>98</v>
      </c>
      <c r="E66" s="20" t="s">
        <v>99</v>
      </c>
      <c r="F66" s="20" t="s">
        <v>54</v>
      </c>
      <c r="G66" s="20" t="s">
        <v>100</v>
      </c>
      <c r="H66" s="20" t="s">
        <v>45</v>
      </c>
      <c r="I66" s="20" t="s">
        <v>124</v>
      </c>
      <c r="J66" s="21">
        <v>2</v>
      </c>
      <c r="K66" s="22">
        <v>4258.75</v>
      </c>
      <c r="L66" s="21">
        <v>0</v>
      </c>
      <c r="M66" s="22">
        <f t="shared" si="0"/>
        <v>0</v>
      </c>
      <c r="N66" s="22">
        <v>8517.5</v>
      </c>
      <c r="O66" s="22">
        <v>5200</v>
      </c>
      <c r="P66" s="22">
        <v>3317.5</v>
      </c>
      <c r="Q66" s="62" t="str">
        <f>IF(retail_store_performance_dashbo!$P66&gt;0,"Profit",IF(retail_store_performance_dashbo!$P66&lt;0,"Loss","Break Even"))</f>
        <v>Profit</v>
      </c>
      <c r="R66" s="62" t="str" cm="1">
        <f t="array" ref="R66">_xlfn.IFS(L66=0,"No Discount",L66&lt;=5,"Low Discount",L66&lt;=10,"Medium Discount",L66&lt;=20,"High Discount")</f>
        <v>No Discount</v>
      </c>
      <c r="S66" s="20" t="s">
        <v>43</v>
      </c>
      <c r="T66" s="20" t="s">
        <v>36</v>
      </c>
      <c r="U66" s="23">
        <v>4.9000000000000004</v>
      </c>
      <c r="V66" s="75" t="str" cm="1">
        <f t="array" ref="V66">_xlfn.IFS(U66=0,"Not Rated",U66&gt;=4.5,"High Rating",U66&gt;=3,"Medium Rating",U66&lt;3,"Low Rating")</f>
        <v>High Rating</v>
      </c>
    </row>
    <row r="67" spans="1:22" x14ac:dyDescent="0.3">
      <c r="A67" s="24" t="s">
        <v>177</v>
      </c>
      <c r="B67" s="25">
        <v>46049</v>
      </c>
      <c r="C67" s="26" t="s">
        <v>29</v>
      </c>
      <c r="D67" s="26" t="s">
        <v>30</v>
      </c>
      <c r="E67" s="26" t="s">
        <v>31</v>
      </c>
      <c r="F67" s="26" t="s">
        <v>32</v>
      </c>
      <c r="G67" s="26" t="s">
        <v>33</v>
      </c>
      <c r="H67" s="26" t="s">
        <v>41</v>
      </c>
      <c r="I67" s="26" t="s">
        <v>135</v>
      </c>
      <c r="J67" s="27">
        <v>2</v>
      </c>
      <c r="K67" s="28">
        <v>1806.26</v>
      </c>
      <c r="L67" s="27">
        <v>10</v>
      </c>
      <c r="M67" s="22">
        <f t="shared" ref="M67:M130" si="1">J67*K67*L67/100</f>
        <v>361.25199999999995</v>
      </c>
      <c r="N67" s="28">
        <v>3251.27</v>
      </c>
      <c r="O67" s="28">
        <v>2200</v>
      </c>
      <c r="P67" s="28">
        <v>1051.27</v>
      </c>
      <c r="Q67" s="72" t="str">
        <f>IF(retail_store_performance_dashbo!$P67&gt;0,"Profit",IF(retail_store_performance_dashbo!$P67&lt;0,"Loss","Break Even"))</f>
        <v>Profit</v>
      </c>
      <c r="R67" s="62" t="str" cm="1">
        <f t="array" ref="R67">_xlfn.IFS(L67=0,"No Discount",L67&lt;=5,"Low Discount",L67&lt;=10,"Medium Discount",L67&lt;=20,"High Discount")</f>
        <v>Medium Discount</v>
      </c>
      <c r="S67" s="26" t="s">
        <v>67</v>
      </c>
      <c r="T67" s="26" t="s">
        <v>36</v>
      </c>
      <c r="U67" s="29">
        <v>3.1</v>
      </c>
      <c r="V67" s="75" t="str" cm="1">
        <f t="array" ref="V67">_xlfn.IFS(U67=0,"Not Rated",U67&gt;=4.5,"High Rating",U67&gt;=3,"Medium Rating",U67&lt;3,"Low Rating")</f>
        <v>Medium Rating</v>
      </c>
    </row>
    <row r="68" spans="1:22" x14ac:dyDescent="0.3">
      <c r="A68" s="18" t="s">
        <v>176</v>
      </c>
      <c r="B68" s="19">
        <v>46050</v>
      </c>
      <c r="C68" s="20" t="s">
        <v>29</v>
      </c>
      <c r="D68" s="20" t="s">
        <v>30</v>
      </c>
      <c r="E68" s="20" t="s">
        <v>31</v>
      </c>
      <c r="F68" s="20" t="s">
        <v>32</v>
      </c>
      <c r="G68" s="20" t="s">
        <v>33</v>
      </c>
      <c r="H68" s="20" t="s">
        <v>24</v>
      </c>
      <c r="I68" s="20" t="s">
        <v>34</v>
      </c>
      <c r="J68" s="21">
        <v>4</v>
      </c>
      <c r="K68" s="22">
        <v>1820.4</v>
      </c>
      <c r="L68" s="21">
        <v>0</v>
      </c>
      <c r="M68" s="22">
        <f t="shared" si="1"/>
        <v>0</v>
      </c>
      <c r="N68" s="22">
        <v>7281.6</v>
      </c>
      <c r="O68" s="22">
        <v>4200</v>
      </c>
      <c r="P68" s="22">
        <v>3081.6</v>
      </c>
      <c r="Q68" s="62" t="str">
        <f>IF(retail_store_performance_dashbo!$P68&gt;0,"Profit",IF(retail_store_performance_dashbo!$P68&lt;0,"Loss","Break Even"))</f>
        <v>Profit</v>
      </c>
      <c r="R68" s="62" t="str" cm="1">
        <f t="array" ref="R68">_xlfn.IFS(L68=0,"No Discount",L68&lt;=5,"Low Discount",L68&lt;=10,"Medium Discount",L68&lt;=20,"High Discount")</f>
        <v>No Discount</v>
      </c>
      <c r="S68" s="20" t="s">
        <v>67</v>
      </c>
      <c r="T68" s="20" t="s">
        <v>36</v>
      </c>
      <c r="U68" s="23">
        <v>3.6</v>
      </c>
      <c r="V68" s="75" t="str" cm="1">
        <f t="array" ref="V68">_xlfn.IFS(U68=0,"Not Rated",U68&gt;=4.5,"High Rating",U68&gt;=3,"Medium Rating",U68&lt;3,"Low Rating")</f>
        <v>Medium Rating</v>
      </c>
    </row>
    <row r="69" spans="1:22" x14ac:dyDescent="0.3">
      <c r="A69" s="24" t="s">
        <v>301</v>
      </c>
      <c r="B69" s="25">
        <v>46050</v>
      </c>
      <c r="C69" s="26" t="s">
        <v>51</v>
      </c>
      <c r="D69" s="26" t="s">
        <v>52</v>
      </c>
      <c r="E69" s="26" t="s">
        <v>53</v>
      </c>
      <c r="F69" s="26" t="s">
        <v>54</v>
      </c>
      <c r="G69" s="26" t="s">
        <v>55</v>
      </c>
      <c r="H69" s="26" t="s">
        <v>24</v>
      </c>
      <c r="I69" s="26" t="s">
        <v>66</v>
      </c>
      <c r="J69" s="27">
        <v>5</v>
      </c>
      <c r="K69" s="28">
        <v>544.57000000000005</v>
      </c>
      <c r="L69" s="27">
        <v>10</v>
      </c>
      <c r="M69" s="22">
        <f t="shared" si="1"/>
        <v>272.28500000000003</v>
      </c>
      <c r="N69" s="28">
        <v>2450.5700000000002</v>
      </c>
      <c r="O69" s="28">
        <v>1700</v>
      </c>
      <c r="P69" s="28">
        <v>750.57</v>
      </c>
      <c r="Q69" s="72" t="str">
        <f>IF(retail_store_performance_dashbo!$P69&gt;0,"Profit",IF(retail_store_performance_dashbo!$P69&lt;0,"Loss","Break Even"))</f>
        <v>Profit</v>
      </c>
      <c r="R69" s="62" t="str" cm="1">
        <f t="array" ref="R69">_xlfn.IFS(L69=0,"No Discount",L69&lt;=5,"Low Discount",L69&lt;=10,"Medium Discount",L69&lt;=20,"High Discount")</f>
        <v>Medium Discount</v>
      </c>
      <c r="S69" s="26" t="s">
        <v>70</v>
      </c>
      <c r="T69" s="26" t="s">
        <v>36</v>
      </c>
      <c r="U69" s="29">
        <v>4.7</v>
      </c>
      <c r="V69" s="75" t="str" cm="1">
        <f t="array" ref="V69">_xlfn.IFS(U69=0,"Not Rated",U69&gt;=4.5,"High Rating",U69&gt;=3,"Medium Rating",U69&lt;3,"Low Rating")</f>
        <v>High Rating</v>
      </c>
    </row>
    <row r="70" spans="1:22" x14ac:dyDescent="0.3">
      <c r="A70" s="18" t="s">
        <v>186</v>
      </c>
      <c r="B70" s="19">
        <v>46052</v>
      </c>
      <c r="C70" s="20" t="s">
        <v>61</v>
      </c>
      <c r="D70" s="20" t="s">
        <v>62</v>
      </c>
      <c r="E70" s="20" t="s">
        <v>63</v>
      </c>
      <c r="F70" s="20" t="s">
        <v>22</v>
      </c>
      <c r="G70" s="20" t="s">
        <v>64</v>
      </c>
      <c r="H70" s="20" t="s">
        <v>24</v>
      </c>
      <c r="I70" s="20" t="s">
        <v>75</v>
      </c>
      <c r="J70" s="21">
        <v>6</v>
      </c>
      <c r="K70" s="22">
        <v>429.1</v>
      </c>
      <c r="L70" s="21">
        <v>20</v>
      </c>
      <c r="M70" s="22">
        <f t="shared" si="1"/>
        <v>514.92000000000007</v>
      </c>
      <c r="N70" s="22">
        <v>2059.6799999999998</v>
      </c>
      <c r="O70" s="22">
        <v>1740</v>
      </c>
      <c r="P70" s="22">
        <v>319.68</v>
      </c>
      <c r="Q70" s="62" t="str">
        <f>IF(retail_store_performance_dashbo!$P70&gt;0,"Profit",IF(retail_store_performance_dashbo!$P70&lt;0,"Loss","Break Even"))</f>
        <v>Profit</v>
      </c>
      <c r="R70" s="62" t="str" cm="1">
        <f t="array" ref="R70">_xlfn.IFS(L70=0,"No Discount",L70&lt;=5,"Low Discount",L70&lt;=10,"Medium Discount",L70&lt;=20,"High Discount")</f>
        <v>High Discount</v>
      </c>
      <c r="S70" s="20" t="s">
        <v>67</v>
      </c>
      <c r="T70" s="20" t="s">
        <v>36</v>
      </c>
      <c r="U70" s="23">
        <v>4</v>
      </c>
      <c r="V70" s="75" t="str" cm="1">
        <f t="array" ref="V70">_xlfn.IFS(U70=0,"Not Rated",U70&gt;=4.5,"High Rating",U70&gt;=3,"Medium Rating",U70&lt;3,"Low Rating")</f>
        <v>Medium Rating</v>
      </c>
    </row>
    <row r="71" spans="1:22" x14ac:dyDescent="0.3">
      <c r="A71" s="24" t="s">
        <v>211</v>
      </c>
      <c r="B71" s="25">
        <v>46052</v>
      </c>
      <c r="C71" s="26" t="s">
        <v>146</v>
      </c>
      <c r="D71" s="26" t="s">
        <v>147</v>
      </c>
      <c r="E71" s="26" t="s">
        <v>148</v>
      </c>
      <c r="F71" s="26" t="s">
        <v>22</v>
      </c>
      <c r="G71" s="26" t="s">
        <v>149</v>
      </c>
      <c r="H71" s="26" t="s">
        <v>58</v>
      </c>
      <c r="I71" s="26" t="s">
        <v>72</v>
      </c>
      <c r="J71" s="27">
        <v>1</v>
      </c>
      <c r="K71" s="28">
        <v>3783.8</v>
      </c>
      <c r="L71" s="27">
        <v>10</v>
      </c>
      <c r="M71" s="22">
        <f t="shared" si="1"/>
        <v>378.38</v>
      </c>
      <c r="N71" s="28">
        <v>3405.42</v>
      </c>
      <c r="O71" s="28">
        <v>2700</v>
      </c>
      <c r="P71" s="28">
        <v>705.42</v>
      </c>
      <c r="Q71" s="72" t="str">
        <f>IF(retail_store_performance_dashbo!$P71&gt;0,"Profit",IF(retail_store_performance_dashbo!$P71&lt;0,"Loss","Break Even"))</f>
        <v>Profit</v>
      </c>
      <c r="R71" s="62" t="str" cm="1">
        <f t="array" ref="R71">_xlfn.IFS(L71=0,"No Discount",L71&lt;=5,"Low Discount",L71&lt;=10,"Medium Discount",L71&lt;=20,"High Discount")</f>
        <v>Medium Discount</v>
      </c>
      <c r="S71" s="26" t="s">
        <v>67</v>
      </c>
      <c r="T71" s="26" t="s">
        <v>36</v>
      </c>
      <c r="U71" s="29">
        <v>5</v>
      </c>
      <c r="V71" s="75" t="str" cm="1">
        <f t="array" ref="V71">_xlfn.IFS(U71=0,"Not Rated",U71&gt;=4.5,"High Rating",U71&gt;=3,"Medium Rating",U71&lt;3,"Low Rating")</f>
        <v>High Rating</v>
      </c>
    </row>
    <row r="72" spans="1:22" x14ac:dyDescent="0.3">
      <c r="A72" s="18" t="s">
        <v>552</v>
      </c>
      <c r="B72" s="19">
        <v>46052</v>
      </c>
      <c r="C72" s="20" t="s">
        <v>51</v>
      </c>
      <c r="D72" s="20" t="s">
        <v>52</v>
      </c>
      <c r="E72" s="20" t="s">
        <v>53</v>
      </c>
      <c r="F72" s="20" t="s">
        <v>54</v>
      </c>
      <c r="G72" s="20" t="s">
        <v>55</v>
      </c>
      <c r="H72" s="20" t="s">
        <v>45</v>
      </c>
      <c r="I72" s="20" t="s">
        <v>101</v>
      </c>
      <c r="J72" s="21">
        <v>2</v>
      </c>
      <c r="K72" s="22">
        <v>1848.47</v>
      </c>
      <c r="L72" s="21">
        <v>10</v>
      </c>
      <c r="M72" s="22">
        <f t="shared" si="1"/>
        <v>369.69400000000002</v>
      </c>
      <c r="N72" s="22">
        <v>0</v>
      </c>
      <c r="O72" s="22">
        <v>2100</v>
      </c>
      <c r="P72" s="22">
        <v>0</v>
      </c>
      <c r="Q72" s="62" t="str">
        <f>IF(retail_store_performance_dashbo!$P72&gt;0,"Profit",IF(retail_store_performance_dashbo!$P72&lt;0,"Loss","Break Even"))</f>
        <v>Break Even</v>
      </c>
      <c r="R72" s="62" t="str" cm="1">
        <f t="array" ref="R72">_xlfn.IFS(L72=0,"No Discount",L72&lt;=5,"Low Discount",L72&lt;=10,"Medium Discount",L72&lt;=20,"High Discount")</f>
        <v>Medium Discount</v>
      </c>
      <c r="S72" s="20" t="s">
        <v>26</v>
      </c>
      <c r="T72" s="20" t="s">
        <v>83</v>
      </c>
      <c r="U72" s="23">
        <v>0</v>
      </c>
      <c r="V72" s="75" t="str" cm="1">
        <f t="array" ref="V72">_xlfn.IFS(U72=0,"Not Rated",U72&gt;=4.5,"High Rating",U72&gt;=3,"Medium Rating",U72&lt;3,"Low Rating")</f>
        <v>Not Rated</v>
      </c>
    </row>
    <row r="73" spans="1:22" x14ac:dyDescent="0.3">
      <c r="A73" s="24" t="s">
        <v>18</v>
      </c>
      <c r="B73" s="25">
        <v>46053</v>
      </c>
      <c r="C73" s="26" t="s">
        <v>19</v>
      </c>
      <c r="D73" s="26" t="s">
        <v>20</v>
      </c>
      <c r="E73" s="26" t="s">
        <v>21</v>
      </c>
      <c r="F73" s="26" t="s">
        <v>22</v>
      </c>
      <c r="G73" s="26" t="s">
        <v>23</v>
      </c>
      <c r="H73" s="26" t="s">
        <v>24</v>
      </c>
      <c r="I73" s="26" t="s">
        <v>25</v>
      </c>
      <c r="J73" s="27">
        <v>5</v>
      </c>
      <c r="K73" s="28">
        <v>355.15</v>
      </c>
      <c r="L73" s="27">
        <v>0</v>
      </c>
      <c r="M73" s="22">
        <f t="shared" si="1"/>
        <v>0</v>
      </c>
      <c r="N73" s="28">
        <v>-1775.75</v>
      </c>
      <c r="O73" s="28">
        <v>1100</v>
      </c>
      <c r="P73" s="28">
        <v>-2875.75</v>
      </c>
      <c r="Q73" s="72" t="str">
        <f>IF(retail_store_performance_dashbo!$P73&gt;0,"Profit",IF(retail_store_performance_dashbo!$P73&lt;0,"Loss","Break Even"))</f>
        <v>Loss</v>
      </c>
      <c r="R73" s="62" t="str" cm="1">
        <f t="array" ref="R73">_xlfn.IFS(L73=0,"No Discount",L73&lt;=5,"Low Discount",L73&lt;=10,"Medium Discount",L73&lt;=20,"High Discount")</f>
        <v>No Discount</v>
      </c>
      <c r="S73" s="26" t="s">
        <v>26</v>
      </c>
      <c r="T73" s="26" t="s">
        <v>27</v>
      </c>
      <c r="U73" s="29">
        <v>4.8</v>
      </c>
      <c r="V73" s="75" t="str" cm="1">
        <f t="array" ref="V73">_xlfn.IFS(U73=0,"Not Rated",U73&gt;=4.5,"High Rating",U73&gt;=3,"Medium Rating",U73&lt;3,"Low Rating")</f>
        <v>High Rating</v>
      </c>
    </row>
    <row r="74" spans="1:22" x14ac:dyDescent="0.3">
      <c r="A74" s="18" t="s">
        <v>249</v>
      </c>
      <c r="B74" s="19">
        <v>46053</v>
      </c>
      <c r="C74" s="20" t="s">
        <v>19</v>
      </c>
      <c r="D74" s="20" t="s">
        <v>20</v>
      </c>
      <c r="E74" s="20" t="s">
        <v>21</v>
      </c>
      <c r="F74" s="20" t="s">
        <v>22</v>
      </c>
      <c r="G74" s="20" t="s">
        <v>23</v>
      </c>
      <c r="H74" s="20" t="s">
        <v>41</v>
      </c>
      <c r="I74" s="20" t="s">
        <v>42</v>
      </c>
      <c r="J74" s="21">
        <v>3</v>
      </c>
      <c r="K74" s="22">
        <v>4328.03</v>
      </c>
      <c r="L74" s="21">
        <v>15</v>
      </c>
      <c r="M74" s="22">
        <f t="shared" si="1"/>
        <v>1947.6135000000002</v>
      </c>
      <c r="N74" s="22">
        <v>11036.48</v>
      </c>
      <c r="O74" s="22">
        <v>8700</v>
      </c>
      <c r="P74" s="22">
        <v>2336.48</v>
      </c>
      <c r="Q74" s="62" t="str">
        <f>IF(retail_store_performance_dashbo!$P74&gt;0,"Profit",IF(retail_store_performance_dashbo!$P74&lt;0,"Loss","Break Even"))</f>
        <v>Profit</v>
      </c>
      <c r="R74" s="62" t="str" cm="1">
        <f t="array" ref="R74">_xlfn.IFS(L74=0,"No Discount",L74&lt;=5,"Low Discount",L74&lt;=10,"Medium Discount",L74&lt;=20,"High Discount")</f>
        <v>High Discount</v>
      </c>
      <c r="S74" s="20" t="s">
        <v>35</v>
      </c>
      <c r="T74" s="20" t="s">
        <v>36</v>
      </c>
      <c r="U74" s="23">
        <v>3.4</v>
      </c>
      <c r="V74" s="75" t="str" cm="1">
        <f t="array" ref="V74">_xlfn.IFS(U74=0,"Not Rated",U74&gt;=4.5,"High Rating",U74&gt;=3,"Medium Rating",U74&lt;3,"Low Rating")</f>
        <v>Medium Rating</v>
      </c>
    </row>
    <row r="75" spans="1:22" x14ac:dyDescent="0.3">
      <c r="A75" s="24" t="s">
        <v>276</v>
      </c>
      <c r="B75" s="25">
        <v>46053</v>
      </c>
      <c r="C75" s="26" t="s">
        <v>61</v>
      </c>
      <c r="D75" s="26" t="s">
        <v>62</v>
      </c>
      <c r="E75" s="26" t="s">
        <v>63</v>
      </c>
      <c r="F75" s="26" t="s">
        <v>22</v>
      </c>
      <c r="G75" s="26" t="s">
        <v>64</v>
      </c>
      <c r="H75" s="26" t="s">
        <v>45</v>
      </c>
      <c r="I75" s="26" t="s">
        <v>101</v>
      </c>
      <c r="J75" s="27">
        <v>4</v>
      </c>
      <c r="K75" s="28">
        <v>1757.8</v>
      </c>
      <c r="L75" s="27">
        <v>15</v>
      </c>
      <c r="M75" s="22">
        <f t="shared" si="1"/>
        <v>1054.68</v>
      </c>
      <c r="N75" s="28">
        <v>5976.52</v>
      </c>
      <c r="O75" s="28">
        <v>4200</v>
      </c>
      <c r="P75" s="28">
        <v>1776.52</v>
      </c>
      <c r="Q75" s="72" t="str">
        <f>IF(retail_store_performance_dashbo!$P75&gt;0,"Profit",IF(retail_store_performance_dashbo!$P75&lt;0,"Loss","Break Even"))</f>
        <v>Profit</v>
      </c>
      <c r="R75" s="62" t="str" cm="1">
        <f t="array" ref="R75">_xlfn.IFS(L75=0,"No Discount",L75&lt;=5,"Low Discount",L75&lt;=10,"Medium Discount",L75&lt;=20,"High Discount")</f>
        <v>High Discount</v>
      </c>
      <c r="S75" s="26" t="s">
        <v>35</v>
      </c>
      <c r="T75" s="26" t="s">
        <v>36</v>
      </c>
      <c r="U75" s="29">
        <v>3.3</v>
      </c>
      <c r="V75" s="75" t="str" cm="1">
        <f t="array" ref="V75">_xlfn.IFS(U75=0,"Not Rated",U75&gt;=4.5,"High Rating",U75&gt;=3,"Medium Rating",U75&lt;3,"Low Rating")</f>
        <v>Medium Rating</v>
      </c>
    </row>
    <row r="76" spans="1:22" x14ac:dyDescent="0.3">
      <c r="A76" s="18" t="s">
        <v>164</v>
      </c>
      <c r="B76" s="19">
        <v>46055</v>
      </c>
      <c r="C76" s="20" t="s">
        <v>61</v>
      </c>
      <c r="D76" s="20" t="s">
        <v>62</v>
      </c>
      <c r="E76" s="20" t="s">
        <v>63</v>
      </c>
      <c r="F76" s="20" t="s">
        <v>22</v>
      </c>
      <c r="G76" s="20" t="s">
        <v>64</v>
      </c>
      <c r="H76" s="20" t="s">
        <v>45</v>
      </c>
      <c r="I76" s="20" t="s">
        <v>101</v>
      </c>
      <c r="J76" s="21">
        <v>2</v>
      </c>
      <c r="K76" s="22">
        <v>1834.74</v>
      </c>
      <c r="L76" s="21">
        <v>5</v>
      </c>
      <c r="M76" s="22">
        <f t="shared" si="1"/>
        <v>183.47400000000002</v>
      </c>
      <c r="N76" s="22">
        <v>3486.01</v>
      </c>
      <c r="O76" s="22">
        <v>2100</v>
      </c>
      <c r="P76" s="22">
        <v>1386.01</v>
      </c>
      <c r="Q76" s="62" t="str">
        <f>IF(retail_store_performance_dashbo!$P76&gt;0,"Profit",IF(retail_store_performance_dashbo!$P76&lt;0,"Loss","Break Even"))</f>
        <v>Profit</v>
      </c>
      <c r="R76" s="62" t="str" cm="1">
        <f t="array" ref="R76">_xlfn.IFS(L76=0,"No Discount",L76&lt;=5,"Low Discount",L76&lt;=10,"Medium Discount",L76&lt;=20,"High Discount")</f>
        <v>Low Discount</v>
      </c>
      <c r="S76" s="20" t="s">
        <v>26</v>
      </c>
      <c r="T76" s="20" t="s">
        <v>36</v>
      </c>
      <c r="U76" s="23">
        <v>3.8</v>
      </c>
      <c r="V76" s="75" t="str" cm="1">
        <f t="array" ref="V76">_xlfn.IFS(U76=0,"Not Rated",U76&gt;=4.5,"High Rating",U76&gt;=3,"Medium Rating",U76&lt;3,"Low Rating")</f>
        <v>Medium Rating</v>
      </c>
    </row>
    <row r="77" spans="1:22" x14ac:dyDescent="0.3">
      <c r="A77" s="24" t="s">
        <v>205</v>
      </c>
      <c r="B77" s="25">
        <v>46055</v>
      </c>
      <c r="C77" s="26" t="s">
        <v>61</v>
      </c>
      <c r="D77" s="26" t="s">
        <v>62</v>
      </c>
      <c r="E77" s="26" t="s">
        <v>63</v>
      </c>
      <c r="F77" s="26" t="s">
        <v>22</v>
      </c>
      <c r="G77" s="26" t="s">
        <v>64</v>
      </c>
      <c r="H77" s="26" t="s">
        <v>58</v>
      </c>
      <c r="I77" s="26" t="s">
        <v>72</v>
      </c>
      <c r="J77" s="27">
        <v>6</v>
      </c>
      <c r="K77" s="28">
        <v>3798.82</v>
      </c>
      <c r="L77" s="27">
        <v>0</v>
      </c>
      <c r="M77" s="22">
        <f t="shared" si="1"/>
        <v>0</v>
      </c>
      <c r="N77" s="28">
        <v>22792.92</v>
      </c>
      <c r="O77" s="28">
        <v>16200</v>
      </c>
      <c r="P77" s="28">
        <v>6592.92</v>
      </c>
      <c r="Q77" s="72" t="str">
        <f>IF(retail_store_performance_dashbo!$P77&gt;0,"Profit",IF(retail_store_performance_dashbo!$P77&lt;0,"Loss","Break Even"))</f>
        <v>Profit</v>
      </c>
      <c r="R77" s="62" t="str" cm="1">
        <f t="array" ref="R77">_xlfn.IFS(L77=0,"No Discount",L77&lt;=5,"Low Discount",L77&lt;=10,"Medium Discount",L77&lt;=20,"High Discount")</f>
        <v>No Discount</v>
      </c>
      <c r="S77" s="26" t="s">
        <v>26</v>
      </c>
      <c r="T77" s="26" t="s">
        <v>36</v>
      </c>
      <c r="U77" s="29">
        <v>4.5</v>
      </c>
      <c r="V77" s="75" t="str" cm="1">
        <f t="array" ref="V77">_xlfn.IFS(U77=0,"Not Rated",U77&gt;=4.5,"High Rating",U77&gt;=3,"Medium Rating",U77&lt;3,"Low Rating")</f>
        <v>High Rating</v>
      </c>
    </row>
    <row r="78" spans="1:22" x14ac:dyDescent="0.3">
      <c r="A78" s="18" t="s">
        <v>398</v>
      </c>
      <c r="B78" s="19">
        <v>46055</v>
      </c>
      <c r="C78" s="20" t="s">
        <v>29</v>
      </c>
      <c r="D78" s="20" t="s">
        <v>30</v>
      </c>
      <c r="E78" s="20" t="s">
        <v>31</v>
      </c>
      <c r="F78" s="20" t="s">
        <v>32</v>
      </c>
      <c r="G78" s="20" t="s">
        <v>33</v>
      </c>
      <c r="H78" s="20" t="s">
        <v>41</v>
      </c>
      <c r="I78" s="20" t="s">
        <v>92</v>
      </c>
      <c r="J78" s="21">
        <v>1</v>
      </c>
      <c r="K78" s="22">
        <v>57447.85</v>
      </c>
      <c r="L78" s="21">
        <v>5</v>
      </c>
      <c r="M78" s="22">
        <f t="shared" si="1"/>
        <v>2872.3924999999999</v>
      </c>
      <c r="N78" s="22">
        <v>54575.46</v>
      </c>
      <c r="O78" s="22">
        <v>42000</v>
      </c>
      <c r="P78" s="22">
        <v>12575.46</v>
      </c>
      <c r="Q78" s="62" t="str">
        <f>IF(retail_store_performance_dashbo!$P78&gt;0,"Profit",IF(retail_store_performance_dashbo!$P78&lt;0,"Loss","Break Even"))</f>
        <v>Profit</v>
      </c>
      <c r="R78" s="62" t="str" cm="1">
        <f t="array" ref="R78">_xlfn.IFS(L78=0,"No Discount",L78&lt;=5,"Low Discount",L78&lt;=10,"Medium Discount",L78&lt;=20,"High Discount")</f>
        <v>Low Discount</v>
      </c>
      <c r="S78" s="20" t="s">
        <v>43</v>
      </c>
      <c r="T78" s="20" t="s">
        <v>36</v>
      </c>
      <c r="U78" s="23">
        <v>4.5999999999999996</v>
      </c>
      <c r="V78" s="75" t="str" cm="1">
        <f t="array" ref="V78">_xlfn.IFS(U78=0,"Not Rated",U78&gt;=4.5,"High Rating",U78&gt;=3,"Medium Rating",U78&lt;3,"Low Rating")</f>
        <v>High Rating</v>
      </c>
    </row>
    <row r="79" spans="1:22" x14ac:dyDescent="0.3">
      <c r="A79" s="24" t="s">
        <v>455</v>
      </c>
      <c r="B79" s="25">
        <v>46055</v>
      </c>
      <c r="C79" s="26" t="s">
        <v>19</v>
      </c>
      <c r="D79" s="26" t="s">
        <v>20</v>
      </c>
      <c r="E79" s="26" t="s">
        <v>21</v>
      </c>
      <c r="F79" s="26" t="s">
        <v>22</v>
      </c>
      <c r="G79" s="26" t="s">
        <v>23</v>
      </c>
      <c r="H79" s="26" t="s">
        <v>58</v>
      </c>
      <c r="I79" s="26" t="s">
        <v>69</v>
      </c>
      <c r="J79" s="27">
        <v>3</v>
      </c>
      <c r="K79" s="28">
        <v>720.72</v>
      </c>
      <c r="L79" s="27">
        <v>0</v>
      </c>
      <c r="M79" s="22">
        <f t="shared" si="1"/>
        <v>0</v>
      </c>
      <c r="N79" s="28">
        <v>2162.16</v>
      </c>
      <c r="O79" s="28">
        <v>1200</v>
      </c>
      <c r="P79" s="28">
        <v>962.16</v>
      </c>
      <c r="Q79" s="72" t="str">
        <f>IF(retail_store_performance_dashbo!$P79&gt;0,"Profit",IF(retail_store_performance_dashbo!$P79&lt;0,"Loss","Break Even"))</f>
        <v>Profit</v>
      </c>
      <c r="R79" s="62" t="str" cm="1">
        <f t="array" ref="R79">_xlfn.IFS(L79=0,"No Discount",L79&lt;=5,"Low Discount",L79&lt;=10,"Medium Discount",L79&lt;=20,"High Discount")</f>
        <v>No Discount</v>
      </c>
      <c r="S79" s="26" t="s">
        <v>26</v>
      </c>
      <c r="T79" s="26" t="s">
        <v>36</v>
      </c>
      <c r="U79" s="29">
        <v>3.1</v>
      </c>
      <c r="V79" s="75" t="str" cm="1">
        <f t="array" ref="V79">_xlfn.IFS(U79=0,"Not Rated",U79&gt;=4.5,"High Rating",U79&gt;=3,"Medium Rating",U79&lt;3,"Low Rating")</f>
        <v>Medium Rating</v>
      </c>
    </row>
    <row r="80" spans="1:22" x14ac:dyDescent="0.3">
      <c r="A80" s="18" t="s">
        <v>108</v>
      </c>
      <c r="B80" s="19">
        <v>46056</v>
      </c>
      <c r="C80" s="20" t="s">
        <v>38</v>
      </c>
      <c r="D80" s="20" t="s">
        <v>39</v>
      </c>
      <c r="E80" s="20" t="s">
        <v>39</v>
      </c>
      <c r="F80" s="20" t="s">
        <v>32</v>
      </c>
      <c r="G80" s="20" t="s">
        <v>40</v>
      </c>
      <c r="H80" s="20" t="s">
        <v>48</v>
      </c>
      <c r="I80" s="20" t="s">
        <v>109</v>
      </c>
      <c r="J80" s="21">
        <v>1</v>
      </c>
      <c r="K80" s="22">
        <v>679.57</v>
      </c>
      <c r="L80" s="21">
        <v>5</v>
      </c>
      <c r="M80" s="22">
        <f t="shared" si="1"/>
        <v>33.978500000000004</v>
      </c>
      <c r="N80" s="22">
        <v>645.59</v>
      </c>
      <c r="O80" s="22">
        <v>510</v>
      </c>
      <c r="P80" s="22">
        <v>135.59</v>
      </c>
      <c r="Q80" s="62" t="str">
        <f>IF(retail_store_performance_dashbo!$P80&gt;0,"Profit",IF(retail_store_performance_dashbo!$P80&lt;0,"Loss","Break Even"))</f>
        <v>Profit</v>
      </c>
      <c r="R80" s="62" t="str" cm="1">
        <f t="array" ref="R80">_xlfn.IFS(L80=0,"No Discount",L80&lt;=5,"Low Discount",L80&lt;=10,"Medium Discount",L80&lt;=20,"High Discount")</f>
        <v>Low Discount</v>
      </c>
      <c r="S80" s="20" t="s">
        <v>70</v>
      </c>
      <c r="T80" s="20" t="s">
        <v>36</v>
      </c>
      <c r="U80" s="23">
        <v>3.1</v>
      </c>
      <c r="V80" s="75" t="str" cm="1">
        <f t="array" ref="V80">_xlfn.IFS(U80=0,"Not Rated",U80&gt;=4.5,"High Rating",U80&gt;=3,"Medium Rating",U80&lt;3,"Low Rating")</f>
        <v>Medium Rating</v>
      </c>
    </row>
    <row r="81" spans="1:22" x14ac:dyDescent="0.3">
      <c r="A81" s="24" t="s">
        <v>243</v>
      </c>
      <c r="B81" s="25">
        <v>46056</v>
      </c>
      <c r="C81" s="26" t="s">
        <v>51</v>
      </c>
      <c r="D81" s="26" t="s">
        <v>52</v>
      </c>
      <c r="E81" s="26" t="s">
        <v>53</v>
      </c>
      <c r="F81" s="26" t="s">
        <v>54</v>
      </c>
      <c r="G81" s="26" t="s">
        <v>55</v>
      </c>
      <c r="H81" s="26" t="s">
        <v>41</v>
      </c>
      <c r="I81" s="26" t="s">
        <v>135</v>
      </c>
      <c r="J81" s="27">
        <v>3</v>
      </c>
      <c r="K81" s="28">
        <v>1846.14</v>
      </c>
      <c r="L81" s="27">
        <v>0</v>
      </c>
      <c r="M81" s="22">
        <f t="shared" si="1"/>
        <v>0</v>
      </c>
      <c r="N81" s="28">
        <v>-5538.42</v>
      </c>
      <c r="O81" s="28">
        <v>3300</v>
      </c>
      <c r="P81" s="28">
        <v>-8838.42</v>
      </c>
      <c r="Q81" s="72" t="str">
        <f>IF(retail_store_performance_dashbo!$P81&gt;0,"Profit",IF(retail_store_performance_dashbo!$P81&lt;0,"Loss","Break Even"))</f>
        <v>Loss</v>
      </c>
      <c r="R81" s="62" t="str" cm="1">
        <f t="array" ref="R81">_xlfn.IFS(L81=0,"No Discount",L81&lt;=5,"Low Discount",L81&lt;=10,"Medium Discount",L81&lt;=20,"High Discount")</f>
        <v>No Discount</v>
      </c>
      <c r="S81" s="26" t="s">
        <v>26</v>
      </c>
      <c r="T81" s="26" t="s">
        <v>27</v>
      </c>
      <c r="U81" s="29">
        <v>4.3</v>
      </c>
      <c r="V81" s="75" t="str" cm="1">
        <f t="array" ref="V81">_xlfn.IFS(U81=0,"Not Rated",U81&gt;=4.5,"High Rating",U81&gt;=3,"Medium Rating",U81&lt;3,"Low Rating")</f>
        <v>Medium Rating</v>
      </c>
    </row>
    <row r="82" spans="1:22" x14ac:dyDescent="0.3">
      <c r="A82" s="18" t="s">
        <v>240</v>
      </c>
      <c r="B82" s="19">
        <v>46057</v>
      </c>
      <c r="C82" s="20" t="s">
        <v>77</v>
      </c>
      <c r="D82" s="20" t="s">
        <v>78</v>
      </c>
      <c r="E82" s="20" t="s">
        <v>79</v>
      </c>
      <c r="F82" s="20" t="s">
        <v>80</v>
      </c>
      <c r="G82" s="20" t="s">
        <v>81</v>
      </c>
      <c r="H82" s="20" t="s">
        <v>24</v>
      </c>
      <c r="I82" s="20" t="s">
        <v>75</v>
      </c>
      <c r="J82" s="21">
        <v>1</v>
      </c>
      <c r="K82" s="22">
        <v>472.01</v>
      </c>
      <c r="L82" s="21">
        <v>10</v>
      </c>
      <c r="M82" s="22">
        <f t="shared" si="1"/>
        <v>47.201000000000001</v>
      </c>
      <c r="N82" s="22">
        <v>424.81</v>
      </c>
      <c r="O82" s="22">
        <v>290</v>
      </c>
      <c r="P82" s="22">
        <v>134.81</v>
      </c>
      <c r="Q82" s="62" t="str">
        <f>IF(retail_store_performance_dashbo!$P82&gt;0,"Profit",IF(retail_store_performance_dashbo!$P82&lt;0,"Loss","Break Even"))</f>
        <v>Profit</v>
      </c>
      <c r="R82" s="62" t="str" cm="1">
        <f t="array" ref="R82">_xlfn.IFS(L82=0,"No Discount",L82&lt;=5,"Low Discount",L82&lt;=10,"Medium Discount",L82&lt;=20,"High Discount")</f>
        <v>Medium Discount</v>
      </c>
      <c r="S82" s="20" t="s">
        <v>70</v>
      </c>
      <c r="T82" s="20" t="s">
        <v>36</v>
      </c>
      <c r="U82" s="23">
        <v>3.5</v>
      </c>
      <c r="V82" s="75" t="str" cm="1">
        <f t="array" ref="V82">_xlfn.IFS(U82=0,"Not Rated",U82&gt;=4.5,"High Rating",U82&gt;=3,"Medium Rating",U82&lt;3,"Low Rating")</f>
        <v>Medium Rating</v>
      </c>
    </row>
    <row r="83" spans="1:22" x14ac:dyDescent="0.3">
      <c r="A83" s="24" t="s">
        <v>331</v>
      </c>
      <c r="B83" s="25">
        <v>46059</v>
      </c>
      <c r="C83" s="26" t="s">
        <v>77</v>
      </c>
      <c r="D83" s="26" t="s">
        <v>78</v>
      </c>
      <c r="E83" s="26" t="s">
        <v>79</v>
      </c>
      <c r="F83" s="26" t="s">
        <v>80</v>
      </c>
      <c r="G83" s="26" t="s">
        <v>81</v>
      </c>
      <c r="H83" s="26" t="s">
        <v>58</v>
      </c>
      <c r="I83" s="26" t="s">
        <v>82</v>
      </c>
      <c r="J83" s="27">
        <v>3</v>
      </c>
      <c r="K83" s="28">
        <v>2343.73</v>
      </c>
      <c r="L83" s="27">
        <v>0</v>
      </c>
      <c r="M83" s="22">
        <f t="shared" si="1"/>
        <v>0</v>
      </c>
      <c r="N83" s="28">
        <v>7031.19</v>
      </c>
      <c r="O83" s="28">
        <v>4650</v>
      </c>
      <c r="P83" s="28">
        <v>2381.19</v>
      </c>
      <c r="Q83" s="72" t="str">
        <f>IF(retail_store_performance_dashbo!$P83&gt;0,"Profit",IF(retail_store_performance_dashbo!$P83&lt;0,"Loss","Break Even"))</f>
        <v>Profit</v>
      </c>
      <c r="R83" s="62" t="str" cm="1">
        <f t="array" ref="R83">_xlfn.IFS(L83=0,"No Discount",L83&lt;=5,"Low Discount",L83&lt;=10,"Medium Discount",L83&lt;=20,"High Discount")</f>
        <v>No Discount</v>
      </c>
      <c r="S83" s="26" t="s">
        <v>26</v>
      </c>
      <c r="T83" s="26" t="s">
        <v>36</v>
      </c>
      <c r="U83" s="29">
        <v>3.5</v>
      </c>
      <c r="V83" s="75" t="str" cm="1">
        <f t="array" ref="V83">_xlfn.IFS(U83=0,"Not Rated",U83&gt;=4.5,"High Rating",U83&gt;=3,"Medium Rating",U83&lt;3,"Low Rating")</f>
        <v>Medium Rating</v>
      </c>
    </row>
    <row r="84" spans="1:22" x14ac:dyDescent="0.3">
      <c r="A84" s="18" t="s">
        <v>498</v>
      </c>
      <c r="B84" s="19">
        <v>46059</v>
      </c>
      <c r="C84" s="20" t="s">
        <v>61</v>
      </c>
      <c r="D84" s="20" t="s">
        <v>62</v>
      </c>
      <c r="E84" s="20" t="s">
        <v>63</v>
      </c>
      <c r="F84" s="20" t="s">
        <v>22</v>
      </c>
      <c r="G84" s="20" t="s">
        <v>64</v>
      </c>
      <c r="H84" s="20" t="s">
        <v>24</v>
      </c>
      <c r="I84" s="20" t="s">
        <v>25</v>
      </c>
      <c r="J84" s="21">
        <v>3</v>
      </c>
      <c r="K84" s="22">
        <v>339.48</v>
      </c>
      <c r="L84" s="21">
        <v>0</v>
      </c>
      <c r="M84" s="22">
        <f t="shared" si="1"/>
        <v>0</v>
      </c>
      <c r="N84" s="22">
        <v>1018.44</v>
      </c>
      <c r="O84" s="22">
        <v>660</v>
      </c>
      <c r="P84" s="22">
        <v>358.44</v>
      </c>
      <c r="Q84" s="62" t="str">
        <f>IF(retail_store_performance_dashbo!$P84&gt;0,"Profit",IF(retail_store_performance_dashbo!$P84&lt;0,"Loss","Break Even"))</f>
        <v>Profit</v>
      </c>
      <c r="R84" s="62" t="str" cm="1">
        <f t="array" ref="R84">_xlfn.IFS(L84=0,"No Discount",L84&lt;=5,"Low Discount",L84&lt;=10,"Medium Discount",L84&lt;=20,"High Discount")</f>
        <v>No Discount</v>
      </c>
      <c r="S84" s="20" t="s">
        <v>35</v>
      </c>
      <c r="T84" s="20" t="s">
        <v>36</v>
      </c>
      <c r="U84" s="23">
        <v>4.2</v>
      </c>
      <c r="V84" s="75" t="str" cm="1">
        <f t="array" ref="V84">_xlfn.IFS(U84=0,"Not Rated",U84&gt;=4.5,"High Rating",U84&gt;=3,"Medium Rating",U84&lt;3,"Low Rating")</f>
        <v>Medium Rating</v>
      </c>
    </row>
    <row r="85" spans="1:22" x14ac:dyDescent="0.3">
      <c r="A85" s="24" t="s">
        <v>153</v>
      </c>
      <c r="B85" s="25">
        <v>46062</v>
      </c>
      <c r="C85" s="26" t="s">
        <v>19</v>
      </c>
      <c r="D85" s="26" t="s">
        <v>20</v>
      </c>
      <c r="E85" s="26" t="s">
        <v>21</v>
      </c>
      <c r="F85" s="26" t="s">
        <v>22</v>
      </c>
      <c r="G85" s="26" t="s">
        <v>23</v>
      </c>
      <c r="H85" s="26" t="s">
        <v>45</v>
      </c>
      <c r="I85" s="26" t="s">
        <v>124</v>
      </c>
      <c r="J85" s="27">
        <v>4</v>
      </c>
      <c r="K85" s="28">
        <v>4076.68</v>
      </c>
      <c r="L85" s="27">
        <v>5</v>
      </c>
      <c r="M85" s="22">
        <f t="shared" si="1"/>
        <v>815.3359999999999</v>
      </c>
      <c r="N85" s="28">
        <v>15491.38</v>
      </c>
      <c r="O85" s="28">
        <v>10400</v>
      </c>
      <c r="P85" s="28">
        <v>5091.38</v>
      </c>
      <c r="Q85" s="72" t="str">
        <f>IF(retail_store_performance_dashbo!$P85&gt;0,"Profit",IF(retail_store_performance_dashbo!$P85&lt;0,"Loss","Break Even"))</f>
        <v>Profit</v>
      </c>
      <c r="R85" s="62" t="str" cm="1">
        <f t="array" ref="R85">_xlfn.IFS(L85=0,"No Discount",L85&lt;=5,"Low Discount",L85&lt;=10,"Medium Discount",L85&lt;=20,"High Discount")</f>
        <v>Low Discount</v>
      </c>
      <c r="S85" s="26" t="s">
        <v>43</v>
      </c>
      <c r="T85" s="26" t="s">
        <v>36</v>
      </c>
      <c r="U85" s="29">
        <v>3.2</v>
      </c>
      <c r="V85" s="75" t="str" cm="1">
        <f t="array" ref="V85">_xlfn.IFS(U85=0,"Not Rated",U85&gt;=4.5,"High Rating",U85&gt;=3,"Medium Rating",U85&lt;3,"Low Rating")</f>
        <v>Medium Rating</v>
      </c>
    </row>
    <row r="86" spans="1:22" x14ac:dyDescent="0.3">
      <c r="A86" s="18" t="s">
        <v>432</v>
      </c>
      <c r="B86" s="19">
        <v>46062</v>
      </c>
      <c r="C86" s="20" t="s">
        <v>38</v>
      </c>
      <c r="D86" s="20" t="s">
        <v>39</v>
      </c>
      <c r="E86" s="20" t="s">
        <v>39</v>
      </c>
      <c r="F86" s="20" t="s">
        <v>32</v>
      </c>
      <c r="G86" s="20" t="s">
        <v>40</v>
      </c>
      <c r="H86" s="20" t="s">
        <v>41</v>
      </c>
      <c r="I86" s="20" t="s">
        <v>106</v>
      </c>
      <c r="J86" s="21">
        <v>5</v>
      </c>
      <c r="K86" s="22">
        <v>22992.400000000001</v>
      </c>
      <c r="L86" s="21">
        <v>5</v>
      </c>
      <c r="M86" s="22">
        <f t="shared" si="1"/>
        <v>5748.1</v>
      </c>
      <c r="N86" s="22">
        <v>-109213.9</v>
      </c>
      <c r="O86" s="22">
        <v>80000</v>
      </c>
      <c r="P86" s="22">
        <v>-189213.9</v>
      </c>
      <c r="Q86" s="62" t="str">
        <f>IF(retail_store_performance_dashbo!$P86&gt;0,"Profit",IF(retail_store_performance_dashbo!$P86&lt;0,"Loss","Break Even"))</f>
        <v>Loss</v>
      </c>
      <c r="R86" s="62" t="str" cm="1">
        <f t="array" ref="R86">_xlfn.IFS(L86=0,"No Discount",L86&lt;=5,"Low Discount",L86&lt;=10,"Medium Discount",L86&lt;=20,"High Discount")</f>
        <v>Low Discount</v>
      </c>
      <c r="S86" s="20" t="s">
        <v>43</v>
      </c>
      <c r="T86" s="20" t="s">
        <v>27</v>
      </c>
      <c r="U86" s="23">
        <v>4.5999999999999996</v>
      </c>
      <c r="V86" s="75" t="str" cm="1">
        <f t="array" ref="V86">_xlfn.IFS(U86=0,"Not Rated",U86&gt;=4.5,"High Rating",U86&gt;=3,"Medium Rating",U86&lt;3,"Low Rating")</f>
        <v>High Rating</v>
      </c>
    </row>
    <row r="87" spans="1:22" x14ac:dyDescent="0.3">
      <c r="A87" s="24" t="s">
        <v>444</v>
      </c>
      <c r="B87" s="25">
        <v>46062</v>
      </c>
      <c r="C87" s="26" t="s">
        <v>51</v>
      </c>
      <c r="D87" s="26" t="s">
        <v>52</v>
      </c>
      <c r="E87" s="26" t="s">
        <v>53</v>
      </c>
      <c r="F87" s="26" t="s">
        <v>54</v>
      </c>
      <c r="G87" s="26" t="s">
        <v>55</v>
      </c>
      <c r="H87" s="26" t="s">
        <v>45</v>
      </c>
      <c r="I87" s="26" t="s">
        <v>46</v>
      </c>
      <c r="J87" s="27">
        <v>3</v>
      </c>
      <c r="K87" s="28">
        <v>3050.45</v>
      </c>
      <c r="L87" s="27">
        <v>20</v>
      </c>
      <c r="M87" s="22">
        <f t="shared" si="1"/>
        <v>1830.2699999999998</v>
      </c>
      <c r="N87" s="28">
        <v>7321.08</v>
      </c>
      <c r="O87" s="28">
        <v>5700</v>
      </c>
      <c r="P87" s="28">
        <v>1621.08</v>
      </c>
      <c r="Q87" s="72" t="str">
        <f>IF(retail_store_performance_dashbo!$P87&gt;0,"Profit",IF(retail_store_performance_dashbo!$P87&lt;0,"Loss","Break Even"))</f>
        <v>Profit</v>
      </c>
      <c r="R87" s="62" t="str" cm="1">
        <f t="array" ref="R87">_xlfn.IFS(L87=0,"No Discount",L87&lt;=5,"Low Discount",L87&lt;=10,"Medium Discount",L87&lt;=20,"High Discount")</f>
        <v>High Discount</v>
      </c>
      <c r="S87" s="26" t="s">
        <v>35</v>
      </c>
      <c r="T87" s="26" t="s">
        <v>36</v>
      </c>
      <c r="U87" s="29">
        <v>3.2</v>
      </c>
      <c r="V87" s="75" t="str" cm="1">
        <f t="array" ref="V87">_xlfn.IFS(U87=0,"Not Rated",U87&gt;=4.5,"High Rating",U87&gt;=3,"Medium Rating",U87&lt;3,"Low Rating")</f>
        <v>Medium Rating</v>
      </c>
    </row>
    <row r="88" spans="1:22" x14ac:dyDescent="0.3">
      <c r="A88" s="18" t="s">
        <v>235</v>
      </c>
      <c r="B88" s="19">
        <v>46063</v>
      </c>
      <c r="C88" s="20" t="s">
        <v>77</v>
      </c>
      <c r="D88" s="20" t="s">
        <v>78</v>
      </c>
      <c r="E88" s="20" t="s">
        <v>79</v>
      </c>
      <c r="F88" s="20" t="s">
        <v>80</v>
      </c>
      <c r="G88" s="20" t="s">
        <v>81</v>
      </c>
      <c r="H88" s="20" t="s">
        <v>41</v>
      </c>
      <c r="I88" s="20" t="s">
        <v>106</v>
      </c>
      <c r="J88" s="21">
        <v>1</v>
      </c>
      <c r="K88" s="22">
        <v>21325.31</v>
      </c>
      <c r="L88" s="21">
        <v>15</v>
      </c>
      <c r="M88" s="22">
        <f t="shared" si="1"/>
        <v>3198.7965000000004</v>
      </c>
      <c r="N88" s="22">
        <v>18126.509999999998</v>
      </c>
      <c r="O88" s="22">
        <v>16000</v>
      </c>
      <c r="P88" s="22">
        <v>2126.5100000000002</v>
      </c>
      <c r="Q88" s="62" t="str">
        <f>IF(retail_store_performance_dashbo!$P88&gt;0,"Profit",IF(retail_store_performance_dashbo!$P88&lt;0,"Loss","Break Even"))</f>
        <v>Profit</v>
      </c>
      <c r="R88" s="62" t="str" cm="1">
        <f t="array" ref="R88">_xlfn.IFS(L88=0,"No Discount",L88&lt;=5,"Low Discount",L88&lt;=10,"Medium Discount",L88&lt;=20,"High Discount")</f>
        <v>High Discount</v>
      </c>
      <c r="S88" s="20" t="s">
        <v>67</v>
      </c>
      <c r="T88" s="20" t="s">
        <v>36</v>
      </c>
      <c r="U88" s="23">
        <v>3.8</v>
      </c>
      <c r="V88" s="75" t="str" cm="1">
        <f t="array" ref="V88">_xlfn.IFS(U88=0,"Not Rated",U88&gt;=4.5,"High Rating",U88&gt;=3,"Medium Rating",U88&lt;3,"Low Rating")</f>
        <v>Medium Rating</v>
      </c>
    </row>
    <row r="89" spans="1:22" x14ac:dyDescent="0.3">
      <c r="A89" s="24" t="s">
        <v>118</v>
      </c>
      <c r="B89" s="25">
        <v>46064</v>
      </c>
      <c r="C89" s="26" t="s">
        <v>38</v>
      </c>
      <c r="D89" s="26" t="s">
        <v>39</v>
      </c>
      <c r="E89" s="26" t="s">
        <v>39</v>
      </c>
      <c r="F89" s="26" t="s">
        <v>32</v>
      </c>
      <c r="G89" s="26" t="s">
        <v>40</v>
      </c>
      <c r="H89" s="26" t="s">
        <v>41</v>
      </c>
      <c r="I89" s="26" t="s">
        <v>42</v>
      </c>
      <c r="J89" s="27">
        <v>1</v>
      </c>
      <c r="K89" s="28">
        <v>4331.5600000000004</v>
      </c>
      <c r="L89" s="27">
        <v>10</v>
      </c>
      <c r="M89" s="22">
        <f t="shared" si="1"/>
        <v>433.15600000000006</v>
      </c>
      <c r="N89" s="28">
        <v>3898.4</v>
      </c>
      <c r="O89" s="28">
        <v>2900</v>
      </c>
      <c r="P89" s="28">
        <v>998.4</v>
      </c>
      <c r="Q89" s="72" t="str">
        <f>IF(retail_store_performance_dashbo!$P89&gt;0,"Profit",IF(retail_store_performance_dashbo!$P89&lt;0,"Loss","Break Even"))</f>
        <v>Profit</v>
      </c>
      <c r="R89" s="62" t="str" cm="1">
        <f t="array" ref="R89">_xlfn.IFS(L89=0,"No Discount",L89&lt;=5,"Low Discount",L89&lt;=10,"Medium Discount",L89&lt;=20,"High Discount")</f>
        <v>Medium Discount</v>
      </c>
      <c r="S89" s="26" t="s">
        <v>70</v>
      </c>
      <c r="T89" s="26" t="s">
        <v>36</v>
      </c>
      <c r="U89" s="29">
        <v>4.9000000000000004</v>
      </c>
      <c r="V89" s="75" t="str" cm="1">
        <f t="array" ref="V89">_xlfn.IFS(U89=0,"Not Rated",U89&gt;=4.5,"High Rating",U89&gt;=3,"Medium Rating",U89&lt;3,"Low Rating")</f>
        <v>High Rating</v>
      </c>
    </row>
    <row r="90" spans="1:22" x14ac:dyDescent="0.3">
      <c r="A90" s="18" t="s">
        <v>131</v>
      </c>
      <c r="B90" s="19">
        <v>46064</v>
      </c>
      <c r="C90" s="20" t="s">
        <v>77</v>
      </c>
      <c r="D90" s="20" t="s">
        <v>78</v>
      </c>
      <c r="E90" s="20" t="s">
        <v>79</v>
      </c>
      <c r="F90" s="20" t="s">
        <v>80</v>
      </c>
      <c r="G90" s="20" t="s">
        <v>81</v>
      </c>
      <c r="H90" s="20" t="s">
        <v>48</v>
      </c>
      <c r="I90" s="20" t="s">
        <v>113</v>
      </c>
      <c r="J90" s="21">
        <v>5</v>
      </c>
      <c r="K90" s="22">
        <v>146.78</v>
      </c>
      <c r="L90" s="21">
        <v>5</v>
      </c>
      <c r="M90" s="22">
        <f t="shared" si="1"/>
        <v>36.695</v>
      </c>
      <c r="N90" s="22">
        <v>0</v>
      </c>
      <c r="O90" s="22">
        <v>600</v>
      </c>
      <c r="P90" s="22">
        <v>0</v>
      </c>
      <c r="Q90" s="62" t="str">
        <f>IF(retail_store_performance_dashbo!$P90&gt;0,"Profit",IF(retail_store_performance_dashbo!$P90&lt;0,"Loss","Break Even"))</f>
        <v>Break Even</v>
      </c>
      <c r="R90" s="62" t="str" cm="1">
        <f t="array" ref="R90">_xlfn.IFS(L90=0,"No Discount",L90&lt;=5,"Low Discount",L90&lt;=10,"Medium Discount",L90&lt;=20,"High Discount")</f>
        <v>Low Discount</v>
      </c>
      <c r="S90" s="20" t="s">
        <v>35</v>
      </c>
      <c r="T90" s="20" t="s">
        <v>83</v>
      </c>
      <c r="U90" s="23">
        <v>0</v>
      </c>
      <c r="V90" s="75" t="str" cm="1">
        <f t="array" ref="V90">_xlfn.IFS(U90=0,"Not Rated",U90&gt;=4.5,"High Rating",U90&gt;=3,"Medium Rating",U90&lt;3,"Low Rating")</f>
        <v>Not Rated</v>
      </c>
    </row>
    <row r="91" spans="1:22" x14ac:dyDescent="0.3">
      <c r="A91" s="24" t="s">
        <v>523</v>
      </c>
      <c r="B91" s="25">
        <v>46064</v>
      </c>
      <c r="C91" s="26" t="s">
        <v>146</v>
      </c>
      <c r="D91" s="26" t="s">
        <v>147</v>
      </c>
      <c r="E91" s="26" t="s">
        <v>148</v>
      </c>
      <c r="F91" s="26" t="s">
        <v>22</v>
      </c>
      <c r="G91" s="26" t="s">
        <v>149</v>
      </c>
      <c r="H91" s="26" t="s">
        <v>24</v>
      </c>
      <c r="I91" s="26" t="s">
        <v>34</v>
      </c>
      <c r="J91" s="27">
        <v>1</v>
      </c>
      <c r="K91" s="28">
        <v>1846.1</v>
      </c>
      <c r="L91" s="27">
        <v>10</v>
      </c>
      <c r="M91" s="22">
        <f t="shared" si="1"/>
        <v>184.61</v>
      </c>
      <c r="N91" s="28">
        <v>1661.49</v>
      </c>
      <c r="O91" s="28">
        <v>1050</v>
      </c>
      <c r="P91" s="28">
        <v>611.49</v>
      </c>
      <c r="Q91" s="72" t="str">
        <f>IF(retail_store_performance_dashbo!$P91&gt;0,"Profit",IF(retail_store_performance_dashbo!$P91&lt;0,"Loss","Break Even"))</f>
        <v>Profit</v>
      </c>
      <c r="R91" s="62" t="str" cm="1">
        <f t="array" ref="R91">_xlfn.IFS(L91=0,"No Discount",L91&lt;=5,"Low Discount",L91&lt;=10,"Medium Discount",L91&lt;=20,"High Discount")</f>
        <v>Medium Discount</v>
      </c>
      <c r="S91" s="26" t="s">
        <v>70</v>
      </c>
      <c r="T91" s="26" t="s">
        <v>36</v>
      </c>
      <c r="U91" s="29">
        <v>4.5</v>
      </c>
      <c r="V91" s="75" t="str" cm="1">
        <f t="array" ref="V91">_xlfn.IFS(U91=0,"Not Rated",U91&gt;=4.5,"High Rating",U91&gt;=3,"Medium Rating",U91&lt;3,"Low Rating")</f>
        <v>High Rating</v>
      </c>
    </row>
    <row r="92" spans="1:22" x14ac:dyDescent="0.3">
      <c r="A92" s="18" t="s">
        <v>202</v>
      </c>
      <c r="B92" s="19">
        <v>46065</v>
      </c>
      <c r="C92" s="20" t="s">
        <v>38</v>
      </c>
      <c r="D92" s="20" t="s">
        <v>39</v>
      </c>
      <c r="E92" s="20" t="s">
        <v>39</v>
      </c>
      <c r="F92" s="20" t="s">
        <v>32</v>
      </c>
      <c r="G92" s="20" t="s">
        <v>40</v>
      </c>
      <c r="H92" s="20" t="s">
        <v>45</v>
      </c>
      <c r="I92" s="20" t="s">
        <v>124</v>
      </c>
      <c r="J92" s="21">
        <v>4</v>
      </c>
      <c r="K92" s="22">
        <v>4043.95</v>
      </c>
      <c r="L92" s="21">
        <v>10</v>
      </c>
      <c r="M92" s="22">
        <f t="shared" si="1"/>
        <v>1617.58</v>
      </c>
      <c r="N92" s="22">
        <v>14558.22</v>
      </c>
      <c r="O92" s="22">
        <v>10400</v>
      </c>
      <c r="P92" s="22">
        <v>4158.22</v>
      </c>
      <c r="Q92" s="62" t="str">
        <f>IF(retail_store_performance_dashbo!$P92&gt;0,"Profit",IF(retail_store_performance_dashbo!$P92&lt;0,"Loss","Break Even"))</f>
        <v>Profit</v>
      </c>
      <c r="R92" s="62" t="str" cm="1">
        <f t="array" ref="R92">_xlfn.IFS(L92=0,"No Discount",L92&lt;=5,"Low Discount",L92&lt;=10,"Medium Discount",L92&lt;=20,"High Discount")</f>
        <v>Medium Discount</v>
      </c>
      <c r="S92" s="20" t="s">
        <v>26</v>
      </c>
      <c r="T92" s="20" t="s">
        <v>36</v>
      </c>
      <c r="U92" s="23">
        <v>3.8</v>
      </c>
      <c r="V92" s="75" t="str" cm="1">
        <f t="array" ref="V92">_xlfn.IFS(U92=0,"Not Rated",U92&gt;=4.5,"High Rating",U92&gt;=3,"Medium Rating",U92&lt;3,"Low Rating")</f>
        <v>Medium Rating</v>
      </c>
    </row>
    <row r="93" spans="1:22" x14ac:dyDescent="0.3">
      <c r="A93" s="24" t="s">
        <v>406</v>
      </c>
      <c r="B93" s="25">
        <v>46065</v>
      </c>
      <c r="C93" s="26" t="s">
        <v>38</v>
      </c>
      <c r="D93" s="26" t="s">
        <v>39</v>
      </c>
      <c r="E93" s="26" t="s">
        <v>39</v>
      </c>
      <c r="F93" s="26" t="s">
        <v>32</v>
      </c>
      <c r="G93" s="26" t="s">
        <v>40</v>
      </c>
      <c r="H93" s="26" t="s">
        <v>24</v>
      </c>
      <c r="I93" s="26" t="s">
        <v>34</v>
      </c>
      <c r="J93" s="27">
        <v>4</v>
      </c>
      <c r="K93" s="28">
        <v>1718.42</v>
      </c>
      <c r="L93" s="27">
        <v>15</v>
      </c>
      <c r="M93" s="22">
        <f t="shared" si="1"/>
        <v>1031.0520000000001</v>
      </c>
      <c r="N93" s="28">
        <v>-5842.63</v>
      </c>
      <c r="O93" s="28">
        <v>4200</v>
      </c>
      <c r="P93" s="28">
        <v>-10042.629999999999</v>
      </c>
      <c r="Q93" s="72" t="str">
        <f>IF(retail_store_performance_dashbo!$P93&gt;0,"Profit",IF(retail_store_performance_dashbo!$P93&lt;0,"Loss","Break Even"))</f>
        <v>Loss</v>
      </c>
      <c r="R93" s="62" t="str" cm="1">
        <f t="array" ref="R93">_xlfn.IFS(L93=0,"No Discount",L93&lt;=5,"Low Discount",L93&lt;=10,"Medium Discount",L93&lt;=20,"High Discount")</f>
        <v>High Discount</v>
      </c>
      <c r="S93" s="26" t="s">
        <v>43</v>
      </c>
      <c r="T93" s="26" t="s">
        <v>27</v>
      </c>
      <c r="U93" s="29">
        <v>4.0999999999999996</v>
      </c>
      <c r="V93" s="75" t="str" cm="1">
        <f t="array" ref="V93">_xlfn.IFS(U93=0,"Not Rated",U93&gt;=4.5,"High Rating",U93&gt;=3,"Medium Rating",U93&lt;3,"Low Rating")</f>
        <v>Medium Rating</v>
      </c>
    </row>
    <row r="94" spans="1:22" x14ac:dyDescent="0.3">
      <c r="A94" s="18" t="s">
        <v>522</v>
      </c>
      <c r="B94" s="19">
        <v>46065</v>
      </c>
      <c r="C94" s="20" t="s">
        <v>77</v>
      </c>
      <c r="D94" s="20" t="s">
        <v>78</v>
      </c>
      <c r="E94" s="20" t="s">
        <v>79</v>
      </c>
      <c r="F94" s="20" t="s">
        <v>80</v>
      </c>
      <c r="G94" s="20" t="s">
        <v>81</v>
      </c>
      <c r="H94" s="20" t="s">
        <v>24</v>
      </c>
      <c r="I94" s="20" t="s">
        <v>34</v>
      </c>
      <c r="J94" s="21">
        <v>5</v>
      </c>
      <c r="K94" s="22">
        <v>1719.64</v>
      </c>
      <c r="L94" s="21">
        <v>5</v>
      </c>
      <c r="M94" s="22">
        <f t="shared" si="1"/>
        <v>429.91</v>
      </c>
      <c r="N94" s="22">
        <v>8168.29</v>
      </c>
      <c r="O94" s="22">
        <v>5250</v>
      </c>
      <c r="P94" s="22">
        <v>2918.29</v>
      </c>
      <c r="Q94" s="62" t="str">
        <f>IF(retail_store_performance_dashbo!$P94&gt;0,"Profit",IF(retail_store_performance_dashbo!$P94&lt;0,"Loss","Break Even"))</f>
        <v>Profit</v>
      </c>
      <c r="R94" s="62" t="str" cm="1">
        <f t="array" ref="R94">_xlfn.IFS(L94=0,"No Discount",L94&lt;=5,"Low Discount",L94&lt;=10,"Medium Discount",L94&lt;=20,"High Discount")</f>
        <v>Low Discount</v>
      </c>
      <c r="S94" s="20" t="s">
        <v>70</v>
      </c>
      <c r="T94" s="20" t="s">
        <v>36</v>
      </c>
      <c r="U94" s="23">
        <v>4.8</v>
      </c>
      <c r="V94" s="75" t="str" cm="1">
        <f t="array" ref="V94">_xlfn.IFS(U94=0,"Not Rated",U94&gt;=4.5,"High Rating",U94&gt;=3,"Medium Rating",U94&lt;3,"Low Rating")</f>
        <v>High Rating</v>
      </c>
    </row>
    <row r="95" spans="1:22" x14ac:dyDescent="0.3">
      <c r="A95" s="24" t="s">
        <v>133</v>
      </c>
      <c r="B95" s="25">
        <v>46066</v>
      </c>
      <c r="C95" s="26" t="s">
        <v>51</v>
      </c>
      <c r="D95" s="26" t="s">
        <v>52</v>
      </c>
      <c r="E95" s="26" t="s">
        <v>53</v>
      </c>
      <c r="F95" s="26" t="s">
        <v>54</v>
      </c>
      <c r="G95" s="26" t="s">
        <v>55</v>
      </c>
      <c r="H95" s="26" t="s">
        <v>45</v>
      </c>
      <c r="I95" s="26" t="s">
        <v>101</v>
      </c>
      <c r="J95" s="27">
        <v>3</v>
      </c>
      <c r="K95" s="28">
        <v>1807.04</v>
      </c>
      <c r="L95" s="27">
        <v>5</v>
      </c>
      <c r="M95" s="22">
        <f t="shared" si="1"/>
        <v>271.05599999999998</v>
      </c>
      <c r="N95" s="28">
        <v>5150.0600000000004</v>
      </c>
      <c r="O95" s="28">
        <v>3150</v>
      </c>
      <c r="P95" s="28">
        <v>2000.06</v>
      </c>
      <c r="Q95" s="72" t="str">
        <f>IF(retail_store_performance_dashbo!$P95&gt;0,"Profit",IF(retail_store_performance_dashbo!$P95&lt;0,"Loss","Break Even"))</f>
        <v>Profit</v>
      </c>
      <c r="R95" s="62" t="str" cm="1">
        <f t="array" ref="R95">_xlfn.IFS(L95=0,"No Discount",L95&lt;=5,"Low Discount",L95&lt;=10,"Medium Discount",L95&lt;=20,"High Discount")</f>
        <v>Low Discount</v>
      </c>
      <c r="S95" s="26" t="s">
        <v>67</v>
      </c>
      <c r="T95" s="26" t="s">
        <v>36</v>
      </c>
      <c r="U95" s="29">
        <v>3.2</v>
      </c>
      <c r="V95" s="75" t="str" cm="1">
        <f t="array" ref="V95">_xlfn.IFS(U95=0,"Not Rated",U95&gt;=4.5,"High Rating",U95&gt;=3,"Medium Rating",U95&lt;3,"Low Rating")</f>
        <v>Medium Rating</v>
      </c>
    </row>
    <row r="96" spans="1:22" x14ac:dyDescent="0.3">
      <c r="A96" s="18" t="s">
        <v>343</v>
      </c>
      <c r="B96" s="19">
        <v>46066</v>
      </c>
      <c r="C96" s="20" t="s">
        <v>97</v>
      </c>
      <c r="D96" s="20" t="s">
        <v>98</v>
      </c>
      <c r="E96" s="20" t="s">
        <v>99</v>
      </c>
      <c r="F96" s="20" t="s">
        <v>54</v>
      </c>
      <c r="G96" s="20" t="s">
        <v>100</v>
      </c>
      <c r="H96" s="20" t="s">
        <v>41</v>
      </c>
      <c r="I96" s="20" t="s">
        <v>106</v>
      </c>
      <c r="J96" s="21">
        <v>2</v>
      </c>
      <c r="K96" s="22">
        <v>22000.1</v>
      </c>
      <c r="L96" s="21">
        <v>10</v>
      </c>
      <c r="M96" s="22">
        <f t="shared" si="1"/>
        <v>4400.0200000000004</v>
      </c>
      <c r="N96" s="22">
        <v>39600.18</v>
      </c>
      <c r="O96" s="22">
        <v>32000</v>
      </c>
      <c r="P96" s="22">
        <v>7600.18</v>
      </c>
      <c r="Q96" s="62" t="str">
        <f>IF(retail_store_performance_dashbo!$P96&gt;0,"Profit",IF(retail_store_performance_dashbo!$P96&lt;0,"Loss","Break Even"))</f>
        <v>Profit</v>
      </c>
      <c r="R96" s="62" t="str" cm="1">
        <f t="array" ref="R96">_xlfn.IFS(L96=0,"No Discount",L96&lt;=5,"Low Discount",L96&lt;=10,"Medium Discount",L96&lt;=20,"High Discount")</f>
        <v>Medium Discount</v>
      </c>
      <c r="S96" s="20" t="s">
        <v>70</v>
      </c>
      <c r="T96" s="20" t="s">
        <v>36</v>
      </c>
      <c r="U96" s="23">
        <v>3.3</v>
      </c>
      <c r="V96" s="75" t="str" cm="1">
        <f t="array" ref="V96">_xlfn.IFS(U96=0,"Not Rated",U96&gt;=4.5,"High Rating",U96&gt;=3,"Medium Rating",U96&lt;3,"Low Rating")</f>
        <v>Medium Rating</v>
      </c>
    </row>
    <row r="97" spans="1:22" x14ac:dyDescent="0.3">
      <c r="A97" s="24" t="s">
        <v>193</v>
      </c>
      <c r="B97" s="25">
        <v>46067</v>
      </c>
      <c r="C97" s="26" t="s">
        <v>61</v>
      </c>
      <c r="D97" s="26" t="s">
        <v>62</v>
      </c>
      <c r="E97" s="26" t="s">
        <v>63</v>
      </c>
      <c r="F97" s="26" t="s">
        <v>22</v>
      </c>
      <c r="G97" s="26" t="s">
        <v>64</v>
      </c>
      <c r="H97" s="26" t="s">
        <v>24</v>
      </c>
      <c r="I97" s="26" t="s">
        <v>75</v>
      </c>
      <c r="J97" s="27">
        <v>1</v>
      </c>
      <c r="K97" s="28">
        <v>433.74</v>
      </c>
      <c r="L97" s="27">
        <v>15</v>
      </c>
      <c r="M97" s="22">
        <f t="shared" si="1"/>
        <v>65.061000000000007</v>
      </c>
      <c r="N97" s="28">
        <v>368.68</v>
      </c>
      <c r="O97" s="28">
        <v>290</v>
      </c>
      <c r="P97" s="28">
        <v>78.680000000000007</v>
      </c>
      <c r="Q97" s="72" t="str">
        <f>IF(retail_store_performance_dashbo!$P97&gt;0,"Profit",IF(retail_store_performance_dashbo!$P97&lt;0,"Loss","Break Even"))</f>
        <v>Profit</v>
      </c>
      <c r="R97" s="62" t="str" cm="1">
        <f t="array" ref="R97">_xlfn.IFS(L97=0,"No Discount",L97&lt;=5,"Low Discount",L97&lt;=10,"Medium Discount",L97&lt;=20,"High Discount")</f>
        <v>High Discount</v>
      </c>
      <c r="S97" s="26" t="s">
        <v>43</v>
      </c>
      <c r="T97" s="26" t="s">
        <v>36</v>
      </c>
      <c r="U97" s="29">
        <v>4.4000000000000004</v>
      </c>
      <c r="V97" s="75" t="str" cm="1">
        <f t="array" ref="V97">_xlfn.IFS(U97=0,"Not Rated",U97&gt;=4.5,"High Rating",U97&gt;=3,"Medium Rating",U97&lt;3,"Low Rating")</f>
        <v>Medium Rating</v>
      </c>
    </row>
    <row r="98" spans="1:22" x14ac:dyDescent="0.3">
      <c r="A98" s="18" t="s">
        <v>204</v>
      </c>
      <c r="B98" s="19">
        <v>46067</v>
      </c>
      <c r="C98" s="20" t="s">
        <v>77</v>
      </c>
      <c r="D98" s="20" t="s">
        <v>78</v>
      </c>
      <c r="E98" s="20" t="s">
        <v>79</v>
      </c>
      <c r="F98" s="20" t="s">
        <v>80</v>
      </c>
      <c r="G98" s="20" t="s">
        <v>81</v>
      </c>
      <c r="H98" s="20" t="s">
        <v>41</v>
      </c>
      <c r="I98" s="20" t="s">
        <v>92</v>
      </c>
      <c r="J98" s="21">
        <v>6</v>
      </c>
      <c r="K98" s="22">
        <v>55666.559999999998</v>
      </c>
      <c r="L98" s="21">
        <v>5</v>
      </c>
      <c r="M98" s="22">
        <f t="shared" si="1"/>
        <v>16699.967999999997</v>
      </c>
      <c r="N98" s="22">
        <v>317299.39</v>
      </c>
      <c r="O98" s="22">
        <v>252000</v>
      </c>
      <c r="P98" s="22">
        <v>65299.39</v>
      </c>
      <c r="Q98" s="62" t="str">
        <f>IF(retail_store_performance_dashbo!$P98&gt;0,"Profit",IF(retail_store_performance_dashbo!$P98&lt;0,"Loss","Break Even"))</f>
        <v>Profit</v>
      </c>
      <c r="R98" s="62" t="str" cm="1">
        <f t="array" ref="R98">_xlfn.IFS(L98=0,"No Discount",L98&lt;=5,"Low Discount",L98&lt;=10,"Medium Discount",L98&lt;=20,"High Discount")</f>
        <v>Low Discount</v>
      </c>
      <c r="S98" s="20" t="s">
        <v>26</v>
      </c>
      <c r="T98" s="20" t="s">
        <v>36</v>
      </c>
      <c r="U98" s="23">
        <v>4.7</v>
      </c>
      <c r="V98" s="75" t="str" cm="1">
        <f t="array" ref="V98">_xlfn.IFS(U98=0,"Not Rated",U98&gt;=4.5,"High Rating",U98&gt;=3,"Medium Rating",U98&lt;3,"Low Rating")</f>
        <v>High Rating</v>
      </c>
    </row>
    <row r="99" spans="1:22" x14ac:dyDescent="0.3">
      <c r="A99" s="24" t="s">
        <v>316</v>
      </c>
      <c r="B99" s="25">
        <v>46067</v>
      </c>
      <c r="C99" s="26" t="s">
        <v>77</v>
      </c>
      <c r="D99" s="26" t="s">
        <v>78</v>
      </c>
      <c r="E99" s="26" t="s">
        <v>79</v>
      </c>
      <c r="F99" s="26" t="s">
        <v>80</v>
      </c>
      <c r="G99" s="26" t="s">
        <v>81</v>
      </c>
      <c r="H99" s="26" t="s">
        <v>58</v>
      </c>
      <c r="I99" s="26" t="s">
        <v>69</v>
      </c>
      <c r="J99" s="27">
        <v>1</v>
      </c>
      <c r="K99" s="28">
        <v>691</v>
      </c>
      <c r="L99" s="27">
        <v>0</v>
      </c>
      <c r="M99" s="22">
        <f t="shared" si="1"/>
        <v>0</v>
      </c>
      <c r="N99" s="28">
        <v>-691</v>
      </c>
      <c r="O99" s="28">
        <v>400</v>
      </c>
      <c r="P99" s="28">
        <v>-1091</v>
      </c>
      <c r="Q99" s="72" t="str">
        <f>IF(retail_store_performance_dashbo!$P99&gt;0,"Profit",IF(retail_store_performance_dashbo!$P99&lt;0,"Loss","Break Even"))</f>
        <v>Loss</v>
      </c>
      <c r="R99" s="62" t="str" cm="1">
        <f t="array" ref="R99">_xlfn.IFS(L99=0,"No Discount",L99&lt;=5,"Low Discount",L99&lt;=10,"Medium Discount",L99&lt;=20,"High Discount")</f>
        <v>No Discount</v>
      </c>
      <c r="S99" s="26" t="s">
        <v>26</v>
      </c>
      <c r="T99" s="26" t="s">
        <v>27</v>
      </c>
      <c r="U99" s="29">
        <v>4.3</v>
      </c>
      <c r="V99" s="75" t="str" cm="1">
        <f t="array" ref="V99">_xlfn.IFS(U99=0,"Not Rated",U99&gt;=4.5,"High Rating",U99&gt;=3,"Medium Rating",U99&lt;3,"Low Rating")</f>
        <v>Medium Rating</v>
      </c>
    </row>
    <row r="100" spans="1:22" x14ac:dyDescent="0.3">
      <c r="A100" s="18" t="s">
        <v>364</v>
      </c>
      <c r="B100" s="19">
        <v>46068</v>
      </c>
      <c r="C100" s="20" t="s">
        <v>61</v>
      </c>
      <c r="D100" s="20" t="s">
        <v>62</v>
      </c>
      <c r="E100" s="20" t="s">
        <v>63</v>
      </c>
      <c r="F100" s="20" t="s">
        <v>22</v>
      </c>
      <c r="G100" s="20" t="s">
        <v>64</v>
      </c>
      <c r="H100" s="20" t="s">
        <v>41</v>
      </c>
      <c r="I100" s="20" t="s">
        <v>135</v>
      </c>
      <c r="J100" s="21">
        <v>1</v>
      </c>
      <c r="K100" s="22">
        <v>1889.28</v>
      </c>
      <c r="L100" s="21">
        <v>10</v>
      </c>
      <c r="M100" s="22">
        <f t="shared" si="1"/>
        <v>188.928</v>
      </c>
      <c r="N100" s="22">
        <v>1700.35</v>
      </c>
      <c r="O100" s="22">
        <v>1100</v>
      </c>
      <c r="P100" s="22">
        <v>600.35</v>
      </c>
      <c r="Q100" s="62" t="str">
        <f>IF(retail_store_performance_dashbo!$P100&gt;0,"Profit",IF(retail_store_performance_dashbo!$P100&lt;0,"Loss","Break Even"))</f>
        <v>Profit</v>
      </c>
      <c r="R100" s="62" t="str" cm="1">
        <f t="array" ref="R100">_xlfn.IFS(L100=0,"No Discount",L100&lt;=5,"Low Discount",L100&lt;=10,"Medium Discount",L100&lt;=20,"High Discount")</f>
        <v>Medium Discount</v>
      </c>
      <c r="S100" s="20" t="s">
        <v>43</v>
      </c>
      <c r="T100" s="20" t="s">
        <v>36</v>
      </c>
      <c r="U100" s="23">
        <v>4.7</v>
      </c>
      <c r="V100" s="75" t="str" cm="1">
        <f t="array" ref="V100">_xlfn.IFS(U100=0,"Not Rated",U100&gt;=4.5,"High Rating",U100&gt;=3,"Medium Rating",U100&lt;3,"Low Rating")</f>
        <v>High Rating</v>
      </c>
    </row>
    <row r="101" spans="1:22" x14ac:dyDescent="0.3">
      <c r="A101" s="24" t="s">
        <v>159</v>
      </c>
      <c r="B101" s="25">
        <v>46069</v>
      </c>
      <c r="C101" s="26" t="s">
        <v>38</v>
      </c>
      <c r="D101" s="26" t="s">
        <v>39</v>
      </c>
      <c r="E101" s="26" t="s">
        <v>39</v>
      </c>
      <c r="F101" s="26" t="s">
        <v>32</v>
      </c>
      <c r="G101" s="26" t="s">
        <v>40</v>
      </c>
      <c r="H101" s="26" t="s">
        <v>24</v>
      </c>
      <c r="I101" s="26" t="s">
        <v>75</v>
      </c>
      <c r="J101" s="27">
        <v>2</v>
      </c>
      <c r="K101" s="28">
        <v>461.67</v>
      </c>
      <c r="L101" s="27">
        <v>15</v>
      </c>
      <c r="M101" s="22">
        <f t="shared" si="1"/>
        <v>138.501</v>
      </c>
      <c r="N101" s="28">
        <v>784.84</v>
      </c>
      <c r="O101" s="28">
        <v>580</v>
      </c>
      <c r="P101" s="28">
        <v>204.84</v>
      </c>
      <c r="Q101" s="72" t="str">
        <f>IF(retail_store_performance_dashbo!$P101&gt;0,"Profit",IF(retail_store_performance_dashbo!$P101&lt;0,"Loss","Break Even"))</f>
        <v>Profit</v>
      </c>
      <c r="R101" s="62" t="str" cm="1">
        <f t="array" ref="R101">_xlfn.IFS(L101=0,"No Discount",L101&lt;=5,"Low Discount",L101&lt;=10,"Medium Discount",L101&lt;=20,"High Discount")</f>
        <v>High Discount</v>
      </c>
      <c r="S101" s="26" t="s">
        <v>35</v>
      </c>
      <c r="T101" s="26" t="s">
        <v>36</v>
      </c>
      <c r="U101" s="29">
        <v>4.9000000000000004</v>
      </c>
      <c r="V101" s="75" t="str" cm="1">
        <f t="array" ref="V101">_xlfn.IFS(U101=0,"Not Rated",U101&gt;=4.5,"High Rating",U101&gt;=3,"Medium Rating",U101&lt;3,"Low Rating")</f>
        <v>High Rating</v>
      </c>
    </row>
    <row r="102" spans="1:22" x14ac:dyDescent="0.3">
      <c r="A102" s="18" t="s">
        <v>217</v>
      </c>
      <c r="B102" s="19">
        <v>46069</v>
      </c>
      <c r="C102" s="20" t="s">
        <v>29</v>
      </c>
      <c r="D102" s="20" t="s">
        <v>30</v>
      </c>
      <c r="E102" s="20" t="s">
        <v>31</v>
      </c>
      <c r="F102" s="20" t="s">
        <v>32</v>
      </c>
      <c r="G102" s="20" t="s">
        <v>33</v>
      </c>
      <c r="H102" s="20" t="s">
        <v>41</v>
      </c>
      <c r="I102" s="20" t="s">
        <v>135</v>
      </c>
      <c r="J102" s="21">
        <v>3</v>
      </c>
      <c r="K102" s="22">
        <v>1838.32</v>
      </c>
      <c r="L102" s="21">
        <v>5</v>
      </c>
      <c r="M102" s="22">
        <f t="shared" si="1"/>
        <v>275.74799999999999</v>
      </c>
      <c r="N102" s="22">
        <v>5239.21</v>
      </c>
      <c r="O102" s="22">
        <v>3300</v>
      </c>
      <c r="P102" s="22">
        <v>1939.21</v>
      </c>
      <c r="Q102" s="62" t="str">
        <f>IF(retail_store_performance_dashbo!$P102&gt;0,"Profit",IF(retail_store_performance_dashbo!$P102&lt;0,"Loss","Break Even"))</f>
        <v>Profit</v>
      </c>
      <c r="R102" s="62" t="str" cm="1">
        <f t="array" ref="R102">_xlfn.IFS(L102=0,"No Discount",L102&lt;=5,"Low Discount",L102&lt;=10,"Medium Discount",L102&lt;=20,"High Discount")</f>
        <v>Low Discount</v>
      </c>
      <c r="S102" s="20" t="s">
        <v>35</v>
      </c>
      <c r="T102" s="20" t="s">
        <v>36</v>
      </c>
      <c r="U102" s="23">
        <v>3.7</v>
      </c>
      <c r="V102" s="75" t="str" cm="1">
        <f t="array" ref="V102">_xlfn.IFS(U102=0,"Not Rated",U102&gt;=4.5,"High Rating",U102&gt;=3,"Medium Rating",U102&lt;3,"Low Rating")</f>
        <v>Medium Rating</v>
      </c>
    </row>
    <row r="103" spans="1:22" x14ac:dyDescent="0.3">
      <c r="A103" s="24" t="s">
        <v>363</v>
      </c>
      <c r="B103" s="25">
        <v>46069</v>
      </c>
      <c r="C103" s="26" t="s">
        <v>29</v>
      </c>
      <c r="D103" s="26" t="s">
        <v>30</v>
      </c>
      <c r="E103" s="26" t="s">
        <v>31</v>
      </c>
      <c r="F103" s="26" t="s">
        <v>32</v>
      </c>
      <c r="G103" s="26" t="s">
        <v>33</v>
      </c>
      <c r="H103" s="26" t="s">
        <v>24</v>
      </c>
      <c r="I103" s="26" t="s">
        <v>66</v>
      </c>
      <c r="J103" s="27">
        <v>3</v>
      </c>
      <c r="K103" s="28">
        <v>552.26</v>
      </c>
      <c r="L103" s="27">
        <v>10</v>
      </c>
      <c r="M103" s="22">
        <f t="shared" si="1"/>
        <v>165.678</v>
      </c>
      <c r="N103" s="28">
        <v>-1491.1</v>
      </c>
      <c r="O103" s="28">
        <v>1020</v>
      </c>
      <c r="P103" s="28">
        <v>-2511.1</v>
      </c>
      <c r="Q103" s="72" t="str">
        <f>IF(retail_store_performance_dashbo!$P103&gt;0,"Profit",IF(retail_store_performance_dashbo!$P103&lt;0,"Loss","Break Even"))</f>
        <v>Loss</v>
      </c>
      <c r="R103" s="62" t="str" cm="1">
        <f t="array" ref="R103">_xlfn.IFS(L103=0,"No Discount",L103&lt;=5,"Low Discount",L103&lt;=10,"Medium Discount",L103&lt;=20,"High Discount")</f>
        <v>Medium Discount</v>
      </c>
      <c r="S103" s="26" t="s">
        <v>67</v>
      </c>
      <c r="T103" s="26" t="s">
        <v>27</v>
      </c>
      <c r="U103" s="29">
        <v>4.5</v>
      </c>
      <c r="V103" s="75" t="str" cm="1">
        <f t="array" ref="V103">_xlfn.IFS(U103=0,"Not Rated",U103&gt;=4.5,"High Rating",U103&gt;=3,"Medium Rating",U103&lt;3,"Low Rating")</f>
        <v>High Rating</v>
      </c>
    </row>
    <row r="104" spans="1:22" x14ac:dyDescent="0.3">
      <c r="A104" s="18" t="s">
        <v>180</v>
      </c>
      <c r="B104" s="19">
        <v>46070</v>
      </c>
      <c r="C104" s="20" t="s">
        <v>61</v>
      </c>
      <c r="D104" s="20" t="s">
        <v>62</v>
      </c>
      <c r="E104" s="20" t="s">
        <v>63</v>
      </c>
      <c r="F104" s="20" t="s">
        <v>22</v>
      </c>
      <c r="G104" s="20" t="s">
        <v>64</v>
      </c>
      <c r="H104" s="20" t="s">
        <v>45</v>
      </c>
      <c r="I104" s="20" t="s">
        <v>46</v>
      </c>
      <c r="J104" s="21">
        <v>1</v>
      </c>
      <c r="K104" s="22">
        <v>3228.28</v>
      </c>
      <c r="L104" s="21">
        <v>15</v>
      </c>
      <c r="M104" s="22">
        <f t="shared" si="1"/>
        <v>484.24200000000002</v>
      </c>
      <c r="N104" s="22">
        <v>2744.04</v>
      </c>
      <c r="O104" s="22">
        <v>1900</v>
      </c>
      <c r="P104" s="22">
        <v>844.04</v>
      </c>
      <c r="Q104" s="62" t="str">
        <f>IF(retail_store_performance_dashbo!$P104&gt;0,"Profit",IF(retail_store_performance_dashbo!$P104&lt;0,"Loss","Break Even"))</f>
        <v>Profit</v>
      </c>
      <c r="R104" s="62" t="str" cm="1">
        <f t="array" ref="R104">_xlfn.IFS(L104=0,"No Discount",L104&lt;=5,"Low Discount",L104&lt;=10,"Medium Discount",L104&lt;=20,"High Discount")</f>
        <v>High Discount</v>
      </c>
      <c r="S104" s="20" t="s">
        <v>35</v>
      </c>
      <c r="T104" s="20" t="s">
        <v>36</v>
      </c>
      <c r="U104" s="23">
        <v>3</v>
      </c>
      <c r="V104" s="75" t="str" cm="1">
        <f t="array" ref="V104">_xlfn.IFS(U104=0,"Not Rated",U104&gt;=4.5,"High Rating",U104&gt;=3,"Medium Rating",U104&lt;3,"Low Rating")</f>
        <v>Medium Rating</v>
      </c>
    </row>
    <row r="105" spans="1:22" x14ac:dyDescent="0.3">
      <c r="A105" s="24" t="s">
        <v>232</v>
      </c>
      <c r="B105" s="25">
        <v>46071</v>
      </c>
      <c r="C105" s="26" t="s">
        <v>51</v>
      </c>
      <c r="D105" s="26" t="s">
        <v>52</v>
      </c>
      <c r="E105" s="26" t="s">
        <v>53</v>
      </c>
      <c r="F105" s="26" t="s">
        <v>54</v>
      </c>
      <c r="G105" s="26" t="s">
        <v>55</v>
      </c>
      <c r="H105" s="26" t="s">
        <v>58</v>
      </c>
      <c r="I105" s="26" t="s">
        <v>59</v>
      </c>
      <c r="J105" s="27">
        <v>3</v>
      </c>
      <c r="K105" s="28">
        <v>5017.78</v>
      </c>
      <c r="L105" s="27">
        <v>5</v>
      </c>
      <c r="M105" s="22">
        <f t="shared" si="1"/>
        <v>752.66699999999992</v>
      </c>
      <c r="N105" s="28">
        <v>14300.67</v>
      </c>
      <c r="O105" s="28">
        <v>10800</v>
      </c>
      <c r="P105" s="28">
        <v>3500.67</v>
      </c>
      <c r="Q105" s="72" t="str">
        <f>IF(retail_store_performance_dashbo!$P105&gt;0,"Profit",IF(retail_store_performance_dashbo!$P105&lt;0,"Loss","Break Even"))</f>
        <v>Profit</v>
      </c>
      <c r="R105" s="62" t="str" cm="1">
        <f t="array" ref="R105">_xlfn.IFS(L105=0,"No Discount",L105&lt;=5,"Low Discount",L105&lt;=10,"Medium Discount",L105&lt;=20,"High Discount")</f>
        <v>Low Discount</v>
      </c>
      <c r="S105" s="26" t="s">
        <v>67</v>
      </c>
      <c r="T105" s="26" t="s">
        <v>36</v>
      </c>
      <c r="U105" s="29">
        <v>4.4000000000000004</v>
      </c>
      <c r="V105" s="75" t="str" cm="1">
        <f t="array" ref="V105">_xlfn.IFS(U105=0,"Not Rated",U105&gt;=4.5,"High Rating",U105&gt;=3,"Medium Rating",U105&lt;3,"Low Rating")</f>
        <v>Medium Rating</v>
      </c>
    </row>
    <row r="106" spans="1:22" x14ac:dyDescent="0.3">
      <c r="A106" s="18" t="s">
        <v>575</v>
      </c>
      <c r="B106" s="19">
        <v>46071</v>
      </c>
      <c r="C106" s="20" t="s">
        <v>51</v>
      </c>
      <c r="D106" s="20" t="s">
        <v>52</v>
      </c>
      <c r="E106" s="20" t="s">
        <v>53</v>
      </c>
      <c r="F106" s="20" t="s">
        <v>54</v>
      </c>
      <c r="G106" s="20" t="s">
        <v>55</v>
      </c>
      <c r="H106" s="20" t="s">
        <v>24</v>
      </c>
      <c r="I106" s="20" t="s">
        <v>75</v>
      </c>
      <c r="J106" s="21">
        <v>6</v>
      </c>
      <c r="K106" s="22">
        <v>460.51</v>
      </c>
      <c r="L106" s="21">
        <v>10</v>
      </c>
      <c r="M106" s="22">
        <f t="shared" si="1"/>
        <v>276.30599999999998</v>
      </c>
      <c r="N106" s="22">
        <v>2486.75</v>
      </c>
      <c r="O106" s="22">
        <v>1740</v>
      </c>
      <c r="P106" s="22">
        <v>746.75</v>
      </c>
      <c r="Q106" s="62" t="str">
        <f>IF(retail_store_performance_dashbo!$P106&gt;0,"Profit",IF(retail_store_performance_dashbo!$P106&lt;0,"Loss","Break Even"))</f>
        <v>Profit</v>
      </c>
      <c r="R106" s="62" t="str" cm="1">
        <f t="array" ref="R106">_xlfn.IFS(L106=0,"No Discount",L106&lt;=5,"Low Discount",L106&lt;=10,"Medium Discount",L106&lt;=20,"High Discount")</f>
        <v>Medium Discount</v>
      </c>
      <c r="S106" s="20" t="s">
        <v>35</v>
      </c>
      <c r="T106" s="20" t="s">
        <v>36</v>
      </c>
      <c r="U106" s="23">
        <v>4.5999999999999996</v>
      </c>
      <c r="V106" s="75" t="str" cm="1">
        <f t="array" ref="V106">_xlfn.IFS(U106=0,"Not Rated",U106&gt;=4.5,"High Rating",U106&gt;=3,"Medium Rating",U106&lt;3,"Low Rating")</f>
        <v>High Rating</v>
      </c>
    </row>
    <row r="107" spans="1:22" x14ac:dyDescent="0.3">
      <c r="A107" s="24" t="s">
        <v>520</v>
      </c>
      <c r="B107" s="25">
        <v>46072</v>
      </c>
      <c r="C107" s="26" t="s">
        <v>146</v>
      </c>
      <c r="D107" s="26" t="s">
        <v>147</v>
      </c>
      <c r="E107" s="26" t="s">
        <v>148</v>
      </c>
      <c r="F107" s="26" t="s">
        <v>22</v>
      </c>
      <c r="G107" s="26" t="s">
        <v>149</v>
      </c>
      <c r="H107" s="26" t="s">
        <v>24</v>
      </c>
      <c r="I107" s="26" t="s">
        <v>25</v>
      </c>
      <c r="J107" s="27">
        <v>2</v>
      </c>
      <c r="K107" s="28">
        <v>339.73</v>
      </c>
      <c r="L107" s="27">
        <v>5</v>
      </c>
      <c r="M107" s="22">
        <f t="shared" si="1"/>
        <v>33.972999999999999</v>
      </c>
      <c r="N107" s="28">
        <v>645.49</v>
      </c>
      <c r="O107" s="28">
        <v>440</v>
      </c>
      <c r="P107" s="28">
        <v>205.49</v>
      </c>
      <c r="Q107" s="72" t="str">
        <f>IF(retail_store_performance_dashbo!$P107&gt;0,"Profit",IF(retail_store_performance_dashbo!$P107&lt;0,"Loss","Break Even"))</f>
        <v>Profit</v>
      </c>
      <c r="R107" s="62" t="str" cm="1">
        <f t="array" ref="R107">_xlfn.IFS(L107=0,"No Discount",L107&lt;=5,"Low Discount",L107&lt;=10,"Medium Discount",L107&lt;=20,"High Discount")</f>
        <v>Low Discount</v>
      </c>
      <c r="S107" s="26" t="s">
        <v>35</v>
      </c>
      <c r="T107" s="26" t="s">
        <v>36</v>
      </c>
      <c r="U107" s="29">
        <v>4.8</v>
      </c>
      <c r="V107" s="75" t="str" cm="1">
        <f t="array" ref="V107">_xlfn.IFS(U107=0,"Not Rated",U107&gt;=4.5,"High Rating",U107&gt;=3,"Medium Rating",U107&lt;3,"Low Rating")</f>
        <v>High Rating</v>
      </c>
    </row>
    <row r="108" spans="1:22" x14ac:dyDescent="0.3">
      <c r="A108" s="18" t="s">
        <v>576</v>
      </c>
      <c r="B108" s="19">
        <v>46072</v>
      </c>
      <c r="C108" s="20" t="s">
        <v>61</v>
      </c>
      <c r="D108" s="20" t="s">
        <v>62</v>
      </c>
      <c r="E108" s="20" t="s">
        <v>63</v>
      </c>
      <c r="F108" s="20" t="s">
        <v>22</v>
      </c>
      <c r="G108" s="20" t="s">
        <v>64</v>
      </c>
      <c r="H108" s="20" t="s">
        <v>48</v>
      </c>
      <c r="I108" s="20" t="s">
        <v>56</v>
      </c>
      <c r="J108" s="21">
        <v>3</v>
      </c>
      <c r="K108" s="22">
        <v>103.43</v>
      </c>
      <c r="L108" s="21">
        <v>20</v>
      </c>
      <c r="M108" s="22">
        <f t="shared" si="1"/>
        <v>62.058</v>
      </c>
      <c r="N108" s="22">
        <v>248.23</v>
      </c>
      <c r="O108" s="22">
        <v>216</v>
      </c>
      <c r="P108" s="22">
        <v>32.229999999999997</v>
      </c>
      <c r="Q108" s="62" t="str">
        <f>IF(retail_store_performance_dashbo!$P108&gt;0,"Profit",IF(retail_store_performance_dashbo!$P108&lt;0,"Loss","Break Even"))</f>
        <v>Profit</v>
      </c>
      <c r="R108" s="62" t="str" cm="1">
        <f t="array" ref="R108">_xlfn.IFS(L108=0,"No Discount",L108&lt;=5,"Low Discount",L108&lt;=10,"Medium Discount",L108&lt;=20,"High Discount")</f>
        <v>High Discount</v>
      </c>
      <c r="S108" s="20" t="s">
        <v>35</v>
      </c>
      <c r="T108" s="20" t="s">
        <v>36</v>
      </c>
      <c r="U108" s="23">
        <v>4.0999999999999996</v>
      </c>
      <c r="V108" s="75" t="str" cm="1">
        <f t="array" ref="V108">_xlfn.IFS(U108=0,"Not Rated",U108&gt;=4.5,"High Rating",U108&gt;=3,"Medium Rating",U108&lt;3,"Low Rating")</f>
        <v>Medium Rating</v>
      </c>
    </row>
    <row r="109" spans="1:22" x14ac:dyDescent="0.3">
      <c r="A109" s="24" t="s">
        <v>168</v>
      </c>
      <c r="B109" s="25">
        <v>46074</v>
      </c>
      <c r="C109" s="26" t="s">
        <v>97</v>
      </c>
      <c r="D109" s="26" t="s">
        <v>98</v>
      </c>
      <c r="E109" s="26" t="s">
        <v>99</v>
      </c>
      <c r="F109" s="26" t="s">
        <v>54</v>
      </c>
      <c r="G109" s="26" t="s">
        <v>100</v>
      </c>
      <c r="H109" s="26" t="s">
        <v>45</v>
      </c>
      <c r="I109" s="26" t="s">
        <v>124</v>
      </c>
      <c r="J109" s="27">
        <v>2</v>
      </c>
      <c r="K109" s="28">
        <v>4267.88</v>
      </c>
      <c r="L109" s="27">
        <v>20</v>
      </c>
      <c r="M109" s="22">
        <f t="shared" si="1"/>
        <v>1707.152</v>
      </c>
      <c r="N109" s="28">
        <v>6828.61</v>
      </c>
      <c r="O109" s="28">
        <v>5200</v>
      </c>
      <c r="P109" s="28">
        <v>1628.61</v>
      </c>
      <c r="Q109" s="72" t="str">
        <f>IF(retail_store_performance_dashbo!$P109&gt;0,"Profit",IF(retail_store_performance_dashbo!$P109&lt;0,"Loss","Break Even"))</f>
        <v>Profit</v>
      </c>
      <c r="R109" s="62" t="str" cm="1">
        <f t="array" ref="R109">_xlfn.IFS(L109=0,"No Discount",L109&lt;=5,"Low Discount",L109&lt;=10,"Medium Discount",L109&lt;=20,"High Discount")</f>
        <v>High Discount</v>
      </c>
      <c r="S109" s="26" t="s">
        <v>43</v>
      </c>
      <c r="T109" s="26" t="s">
        <v>36</v>
      </c>
      <c r="U109" s="29">
        <v>3.3</v>
      </c>
      <c r="V109" s="75" t="str" cm="1">
        <f t="array" ref="V109">_xlfn.IFS(U109=0,"Not Rated",U109&gt;=4.5,"High Rating",U109&gt;=3,"Medium Rating",U109&lt;3,"Low Rating")</f>
        <v>Medium Rating</v>
      </c>
    </row>
    <row r="110" spans="1:22" x14ac:dyDescent="0.3">
      <c r="A110" s="18" t="s">
        <v>419</v>
      </c>
      <c r="B110" s="19">
        <v>46074</v>
      </c>
      <c r="C110" s="20" t="s">
        <v>97</v>
      </c>
      <c r="D110" s="20" t="s">
        <v>98</v>
      </c>
      <c r="E110" s="20" t="s">
        <v>99</v>
      </c>
      <c r="F110" s="20" t="s">
        <v>54</v>
      </c>
      <c r="G110" s="20" t="s">
        <v>100</v>
      </c>
      <c r="H110" s="20" t="s">
        <v>41</v>
      </c>
      <c r="I110" s="20" t="s">
        <v>92</v>
      </c>
      <c r="J110" s="21">
        <v>5</v>
      </c>
      <c r="K110" s="22">
        <v>57428.78</v>
      </c>
      <c r="L110" s="21">
        <v>5</v>
      </c>
      <c r="M110" s="22">
        <f t="shared" si="1"/>
        <v>14357.195</v>
      </c>
      <c r="N110" s="22">
        <v>272786.71000000002</v>
      </c>
      <c r="O110" s="22">
        <v>210000</v>
      </c>
      <c r="P110" s="22">
        <v>62786.71</v>
      </c>
      <c r="Q110" s="62" t="str">
        <f>IF(retail_store_performance_dashbo!$P110&gt;0,"Profit",IF(retail_store_performance_dashbo!$P110&lt;0,"Loss","Break Even"))</f>
        <v>Profit</v>
      </c>
      <c r="R110" s="62" t="str" cm="1">
        <f t="array" ref="R110">_xlfn.IFS(L110=0,"No Discount",L110&lt;=5,"Low Discount",L110&lt;=10,"Medium Discount",L110&lt;=20,"High Discount")</f>
        <v>Low Discount</v>
      </c>
      <c r="S110" s="20" t="s">
        <v>70</v>
      </c>
      <c r="T110" s="20" t="s">
        <v>36</v>
      </c>
      <c r="U110" s="23">
        <v>3.7</v>
      </c>
      <c r="V110" s="75" t="str" cm="1">
        <f t="array" ref="V110">_xlfn.IFS(U110=0,"Not Rated",U110&gt;=4.5,"High Rating",U110&gt;=3,"Medium Rating",U110&lt;3,"Low Rating")</f>
        <v>Medium Rating</v>
      </c>
    </row>
    <row r="111" spans="1:22" x14ac:dyDescent="0.3">
      <c r="A111" s="24" t="s">
        <v>544</v>
      </c>
      <c r="B111" s="25">
        <v>46074</v>
      </c>
      <c r="C111" s="26" t="s">
        <v>97</v>
      </c>
      <c r="D111" s="26" t="s">
        <v>98</v>
      </c>
      <c r="E111" s="26" t="s">
        <v>99</v>
      </c>
      <c r="F111" s="26" t="s">
        <v>54</v>
      </c>
      <c r="G111" s="26" t="s">
        <v>100</v>
      </c>
      <c r="H111" s="26" t="s">
        <v>24</v>
      </c>
      <c r="I111" s="26" t="s">
        <v>34</v>
      </c>
      <c r="J111" s="27">
        <v>3</v>
      </c>
      <c r="K111" s="28">
        <v>1839.62</v>
      </c>
      <c r="L111" s="27">
        <v>0</v>
      </c>
      <c r="M111" s="22">
        <f t="shared" si="1"/>
        <v>0</v>
      </c>
      <c r="N111" s="28">
        <v>5518.86</v>
      </c>
      <c r="O111" s="28">
        <v>3150</v>
      </c>
      <c r="P111" s="28">
        <v>2368.86</v>
      </c>
      <c r="Q111" s="72" t="str">
        <f>IF(retail_store_performance_dashbo!$P111&gt;0,"Profit",IF(retail_store_performance_dashbo!$P111&lt;0,"Loss","Break Even"))</f>
        <v>Profit</v>
      </c>
      <c r="R111" s="62" t="str" cm="1">
        <f t="array" ref="R111">_xlfn.IFS(L111=0,"No Discount",L111&lt;=5,"Low Discount",L111&lt;=10,"Medium Discount",L111&lt;=20,"High Discount")</f>
        <v>No Discount</v>
      </c>
      <c r="S111" s="26" t="s">
        <v>70</v>
      </c>
      <c r="T111" s="26" t="s">
        <v>36</v>
      </c>
      <c r="U111" s="29">
        <v>3.5</v>
      </c>
      <c r="V111" s="75" t="str" cm="1">
        <f t="array" ref="V111">_xlfn.IFS(U111=0,"Not Rated",U111&gt;=4.5,"High Rating",U111&gt;=3,"Medium Rating",U111&lt;3,"Low Rating")</f>
        <v>Medium Rating</v>
      </c>
    </row>
    <row r="112" spans="1:22" x14ac:dyDescent="0.3">
      <c r="A112" s="18" t="s">
        <v>479</v>
      </c>
      <c r="B112" s="19">
        <v>46075</v>
      </c>
      <c r="C112" s="20" t="s">
        <v>19</v>
      </c>
      <c r="D112" s="20" t="s">
        <v>20</v>
      </c>
      <c r="E112" s="20" t="s">
        <v>21</v>
      </c>
      <c r="F112" s="20" t="s">
        <v>22</v>
      </c>
      <c r="G112" s="20" t="s">
        <v>23</v>
      </c>
      <c r="H112" s="20" t="s">
        <v>45</v>
      </c>
      <c r="I112" s="20" t="s">
        <v>124</v>
      </c>
      <c r="J112" s="21">
        <v>6</v>
      </c>
      <c r="K112" s="22">
        <v>4404.82</v>
      </c>
      <c r="L112" s="21">
        <v>5</v>
      </c>
      <c r="M112" s="22">
        <f t="shared" si="1"/>
        <v>1321.4459999999997</v>
      </c>
      <c r="N112" s="22">
        <v>25107.47</v>
      </c>
      <c r="O112" s="22">
        <v>15600</v>
      </c>
      <c r="P112" s="22">
        <v>9507.4699999999993</v>
      </c>
      <c r="Q112" s="62" t="str">
        <f>IF(retail_store_performance_dashbo!$P112&gt;0,"Profit",IF(retail_store_performance_dashbo!$P112&lt;0,"Loss","Break Even"))</f>
        <v>Profit</v>
      </c>
      <c r="R112" s="62" t="str" cm="1">
        <f t="array" ref="R112">_xlfn.IFS(L112=0,"No Discount",L112&lt;=5,"Low Discount",L112&lt;=10,"Medium Discount",L112&lt;=20,"High Discount")</f>
        <v>Low Discount</v>
      </c>
      <c r="S112" s="20" t="s">
        <v>35</v>
      </c>
      <c r="T112" s="20" t="s">
        <v>36</v>
      </c>
      <c r="U112" s="23">
        <v>4.0999999999999996</v>
      </c>
      <c r="V112" s="75" t="str" cm="1">
        <f t="array" ref="V112">_xlfn.IFS(U112=0,"Not Rated",U112&gt;=4.5,"High Rating",U112&gt;=3,"Medium Rating",U112&lt;3,"Low Rating")</f>
        <v>Medium Rating</v>
      </c>
    </row>
    <row r="113" spans="1:22" x14ac:dyDescent="0.3">
      <c r="A113" s="24" t="s">
        <v>242</v>
      </c>
      <c r="B113" s="25">
        <v>46076</v>
      </c>
      <c r="C113" s="26" t="s">
        <v>77</v>
      </c>
      <c r="D113" s="26" t="s">
        <v>78</v>
      </c>
      <c r="E113" s="26" t="s">
        <v>79</v>
      </c>
      <c r="F113" s="26" t="s">
        <v>80</v>
      </c>
      <c r="G113" s="26" t="s">
        <v>81</v>
      </c>
      <c r="H113" s="26" t="s">
        <v>41</v>
      </c>
      <c r="I113" s="26" t="s">
        <v>42</v>
      </c>
      <c r="J113" s="27">
        <v>3</v>
      </c>
      <c r="K113" s="28">
        <v>4710.43</v>
      </c>
      <c r="L113" s="27">
        <v>15</v>
      </c>
      <c r="M113" s="22">
        <f t="shared" si="1"/>
        <v>2119.6934999999999</v>
      </c>
      <c r="N113" s="28">
        <v>12011.6</v>
      </c>
      <c r="O113" s="28">
        <v>8700</v>
      </c>
      <c r="P113" s="28">
        <v>3311.6</v>
      </c>
      <c r="Q113" s="72" t="str">
        <f>IF(retail_store_performance_dashbo!$P113&gt;0,"Profit",IF(retail_store_performance_dashbo!$P113&lt;0,"Loss","Break Even"))</f>
        <v>Profit</v>
      </c>
      <c r="R113" s="62" t="str" cm="1">
        <f t="array" ref="R113">_xlfn.IFS(L113=0,"No Discount",L113&lt;=5,"Low Discount",L113&lt;=10,"Medium Discount",L113&lt;=20,"High Discount")</f>
        <v>High Discount</v>
      </c>
      <c r="S113" s="26" t="s">
        <v>70</v>
      </c>
      <c r="T113" s="26" t="s">
        <v>36</v>
      </c>
      <c r="U113" s="29">
        <v>3.6</v>
      </c>
      <c r="V113" s="75" t="str" cm="1">
        <f t="array" ref="V113">_xlfn.IFS(U113=0,"Not Rated",U113&gt;=4.5,"High Rating",U113&gt;=3,"Medium Rating",U113&lt;3,"Low Rating")</f>
        <v>Medium Rating</v>
      </c>
    </row>
    <row r="114" spans="1:22" x14ac:dyDescent="0.3">
      <c r="A114" s="18" t="s">
        <v>393</v>
      </c>
      <c r="B114" s="19">
        <v>46077</v>
      </c>
      <c r="C114" s="20" t="s">
        <v>38</v>
      </c>
      <c r="D114" s="20" t="s">
        <v>39</v>
      </c>
      <c r="E114" s="20" t="s">
        <v>39</v>
      </c>
      <c r="F114" s="20" t="s">
        <v>32</v>
      </c>
      <c r="G114" s="20" t="s">
        <v>40</v>
      </c>
      <c r="H114" s="20" t="s">
        <v>58</v>
      </c>
      <c r="I114" s="20" t="s">
        <v>69</v>
      </c>
      <c r="J114" s="21">
        <v>5</v>
      </c>
      <c r="K114" s="22">
        <v>677.87</v>
      </c>
      <c r="L114" s="21">
        <v>0</v>
      </c>
      <c r="M114" s="22">
        <f t="shared" si="1"/>
        <v>0</v>
      </c>
      <c r="N114" s="22">
        <v>3389.35</v>
      </c>
      <c r="O114" s="22">
        <v>2000</v>
      </c>
      <c r="P114" s="22">
        <v>1389.35</v>
      </c>
      <c r="Q114" s="62" t="str">
        <f>IF(retail_store_performance_dashbo!$P114&gt;0,"Profit",IF(retail_store_performance_dashbo!$P114&lt;0,"Loss","Break Even"))</f>
        <v>Profit</v>
      </c>
      <c r="R114" s="62" t="str" cm="1">
        <f t="array" ref="R114">_xlfn.IFS(L114=0,"No Discount",L114&lt;=5,"Low Discount",L114&lt;=10,"Medium Discount",L114&lt;=20,"High Discount")</f>
        <v>No Discount</v>
      </c>
      <c r="S114" s="20" t="s">
        <v>70</v>
      </c>
      <c r="T114" s="20" t="s">
        <v>36</v>
      </c>
      <c r="U114" s="23">
        <v>3</v>
      </c>
      <c r="V114" s="75" t="str" cm="1">
        <f t="array" ref="V114">_xlfn.IFS(U114=0,"Not Rated",U114&gt;=4.5,"High Rating",U114&gt;=3,"Medium Rating",U114&lt;3,"Low Rating")</f>
        <v>Medium Rating</v>
      </c>
    </row>
    <row r="115" spans="1:22" x14ac:dyDescent="0.3">
      <c r="A115" s="24" t="s">
        <v>107</v>
      </c>
      <c r="B115" s="25">
        <v>46078</v>
      </c>
      <c r="C115" s="26" t="s">
        <v>38</v>
      </c>
      <c r="D115" s="26" t="s">
        <v>39</v>
      </c>
      <c r="E115" s="26" t="s">
        <v>39</v>
      </c>
      <c r="F115" s="26" t="s">
        <v>32</v>
      </c>
      <c r="G115" s="26" t="s">
        <v>40</v>
      </c>
      <c r="H115" s="26" t="s">
        <v>24</v>
      </c>
      <c r="I115" s="26" t="s">
        <v>66</v>
      </c>
      <c r="J115" s="27">
        <v>6</v>
      </c>
      <c r="K115" s="28">
        <v>537.92999999999995</v>
      </c>
      <c r="L115" s="27">
        <v>5</v>
      </c>
      <c r="M115" s="22">
        <f t="shared" si="1"/>
        <v>161.37899999999999</v>
      </c>
      <c r="N115" s="28">
        <v>3066.2</v>
      </c>
      <c r="O115" s="28">
        <v>2040</v>
      </c>
      <c r="P115" s="28">
        <v>1026.2</v>
      </c>
      <c r="Q115" s="72" t="str">
        <f>IF(retail_store_performance_dashbo!$P115&gt;0,"Profit",IF(retail_store_performance_dashbo!$P115&lt;0,"Loss","Break Even"))</f>
        <v>Profit</v>
      </c>
      <c r="R115" s="62" t="str" cm="1">
        <f t="array" ref="R115">_xlfn.IFS(L115=0,"No Discount",L115&lt;=5,"Low Discount",L115&lt;=10,"Medium Discount",L115&lt;=20,"High Discount")</f>
        <v>Low Discount</v>
      </c>
      <c r="S115" s="26" t="s">
        <v>26</v>
      </c>
      <c r="T115" s="26" t="s">
        <v>36</v>
      </c>
      <c r="U115" s="29">
        <v>4.0999999999999996</v>
      </c>
      <c r="V115" s="75" t="str" cm="1">
        <f t="array" ref="V115">_xlfn.IFS(U115=0,"Not Rated",U115&gt;=4.5,"High Rating",U115&gt;=3,"Medium Rating",U115&lt;3,"Low Rating")</f>
        <v>Medium Rating</v>
      </c>
    </row>
    <row r="116" spans="1:22" x14ac:dyDescent="0.3">
      <c r="A116" s="18" t="s">
        <v>294</v>
      </c>
      <c r="B116" s="19">
        <v>46078</v>
      </c>
      <c r="C116" s="20" t="s">
        <v>29</v>
      </c>
      <c r="D116" s="20" t="s">
        <v>30</v>
      </c>
      <c r="E116" s="20" t="s">
        <v>31</v>
      </c>
      <c r="F116" s="20" t="s">
        <v>32</v>
      </c>
      <c r="G116" s="20" t="s">
        <v>33</v>
      </c>
      <c r="H116" s="20" t="s">
        <v>45</v>
      </c>
      <c r="I116" s="20" t="s">
        <v>46</v>
      </c>
      <c r="J116" s="21">
        <v>4</v>
      </c>
      <c r="K116" s="22">
        <v>3293.79</v>
      </c>
      <c r="L116" s="21">
        <v>20</v>
      </c>
      <c r="M116" s="22">
        <f t="shared" si="1"/>
        <v>2635.0320000000002</v>
      </c>
      <c r="N116" s="22">
        <v>10540.13</v>
      </c>
      <c r="O116" s="22">
        <v>7600</v>
      </c>
      <c r="P116" s="22">
        <v>2940.13</v>
      </c>
      <c r="Q116" s="62" t="str">
        <f>IF(retail_store_performance_dashbo!$P116&gt;0,"Profit",IF(retail_store_performance_dashbo!$P116&lt;0,"Loss","Break Even"))</f>
        <v>Profit</v>
      </c>
      <c r="R116" s="62" t="str" cm="1">
        <f t="array" ref="R116">_xlfn.IFS(L116=0,"No Discount",L116&lt;=5,"Low Discount",L116&lt;=10,"Medium Discount",L116&lt;=20,"High Discount")</f>
        <v>High Discount</v>
      </c>
      <c r="S116" s="20" t="s">
        <v>67</v>
      </c>
      <c r="T116" s="20" t="s">
        <v>36</v>
      </c>
      <c r="U116" s="23">
        <v>3.1</v>
      </c>
      <c r="V116" s="75" t="str" cm="1">
        <f t="array" ref="V116">_xlfn.IFS(U116=0,"Not Rated",U116&gt;=4.5,"High Rating",U116&gt;=3,"Medium Rating",U116&lt;3,"Low Rating")</f>
        <v>Medium Rating</v>
      </c>
    </row>
    <row r="117" spans="1:22" x14ac:dyDescent="0.3">
      <c r="A117" s="24" t="s">
        <v>376</v>
      </c>
      <c r="B117" s="25">
        <v>46078</v>
      </c>
      <c r="C117" s="26" t="s">
        <v>61</v>
      </c>
      <c r="D117" s="26" t="s">
        <v>62</v>
      </c>
      <c r="E117" s="26" t="s">
        <v>63</v>
      </c>
      <c r="F117" s="26" t="s">
        <v>22</v>
      </c>
      <c r="G117" s="26" t="s">
        <v>64</v>
      </c>
      <c r="H117" s="26" t="s">
        <v>58</v>
      </c>
      <c r="I117" s="26" t="s">
        <v>72</v>
      </c>
      <c r="J117" s="27">
        <v>1</v>
      </c>
      <c r="K117" s="28">
        <v>3665.24</v>
      </c>
      <c r="L117" s="27">
        <v>5</v>
      </c>
      <c r="M117" s="22">
        <f t="shared" si="1"/>
        <v>183.26199999999997</v>
      </c>
      <c r="N117" s="28">
        <v>3481.98</v>
      </c>
      <c r="O117" s="28">
        <v>2700</v>
      </c>
      <c r="P117" s="28">
        <v>781.98</v>
      </c>
      <c r="Q117" s="72" t="str">
        <f>IF(retail_store_performance_dashbo!$P117&gt;0,"Profit",IF(retail_store_performance_dashbo!$P117&lt;0,"Loss","Break Even"))</f>
        <v>Profit</v>
      </c>
      <c r="R117" s="62" t="str" cm="1">
        <f t="array" ref="R117">_xlfn.IFS(L117=0,"No Discount",L117&lt;=5,"Low Discount",L117&lt;=10,"Medium Discount",L117&lt;=20,"High Discount")</f>
        <v>Low Discount</v>
      </c>
      <c r="S117" s="26" t="s">
        <v>35</v>
      </c>
      <c r="T117" s="26" t="s">
        <v>36</v>
      </c>
      <c r="U117" s="29">
        <v>4.0999999999999996</v>
      </c>
      <c r="V117" s="75" t="str" cm="1">
        <f t="array" ref="V117">_xlfn.IFS(U117=0,"Not Rated",U117&gt;=4.5,"High Rating",U117&gt;=3,"Medium Rating",U117&lt;3,"Low Rating")</f>
        <v>Medium Rating</v>
      </c>
    </row>
    <row r="118" spans="1:22" x14ac:dyDescent="0.3">
      <c r="A118" s="18" t="s">
        <v>140</v>
      </c>
      <c r="B118" s="19">
        <v>46079</v>
      </c>
      <c r="C118" s="20" t="s">
        <v>19</v>
      </c>
      <c r="D118" s="20" t="s">
        <v>20</v>
      </c>
      <c r="E118" s="20" t="s">
        <v>21</v>
      </c>
      <c r="F118" s="20" t="s">
        <v>22</v>
      </c>
      <c r="G118" s="20" t="s">
        <v>23</v>
      </c>
      <c r="H118" s="20" t="s">
        <v>48</v>
      </c>
      <c r="I118" s="20" t="s">
        <v>56</v>
      </c>
      <c r="J118" s="21">
        <v>4</v>
      </c>
      <c r="K118" s="22">
        <v>103.32</v>
      </c>
      <c r="L118" s="21">
        <v>15</v>
      </c>
      <c r="M118" s="22">
        <f t="shared" si="1"/>
        <v>61.991999999999997</v>
      </c>
      <c r="N118" s="22">
        <v>351.29</v>
      </c>
      <c r="O118" s="22">
        <v>288</v>
      </c>
      <c r="P118" s="22">
        <v>63.29</v>
      </c>
      <c r="Q118" s="62" t="str">
        <f>IF(retail_store_performance_dashbo!$P118&gt;0,"Profit",IF(retail_store_performance_dashbo!$P118&lt;0,"Loss","Break Even"))</f>
        <v>Profit</v>
      </c>
      <c r="R118" s="62" t="str" cm="1">
        <f t="array" ref="R118">_xlfn.IFS(L118=0,"No Discount",L118&lt;=5,"Low Discount",L118&lt;=10,"Medium Discount",L118&lt;=20,"High Discount")</f>
        <v>High Discount</v>
      </c>
      <c r="S118" s="20" t="s">
        <v>26</v>
      </c>
      <c r="T118" s="20" t="s">
        <v>36</v>
      </c>
      <c r="U118" s="23">
        <v>3.9</v>
      </c>
      <c r="V118" s="75" t="str" cm="1">
        <f t="array" ref="V118">_xlfn.IFS(U118=0,"Not Rated",U118&gt;=4.5,"High Rating",U118&gt;=3,"Medium Rating",U118&lt;3,"Low Rating")</f>
        <v>Medium Rating</v>
      </c>
    </row>
    <row r="119" spans="1:22" x14ac:dyDescent="0.3">
      <c r="A119" s="24" t="s">
        <v>366</v>
      </c>
      <c r="B119" s="25">
        <v>46079</v>
      </c>
      <c r="C119" s="26" t="s">
        <v>51</v>
      </c>
      <c r="D119" s="26" t="s">
        <v>52</v>
      </c>
      <c r="E119" s="26" t="s">
        <v>53</v>
      </c>
      <c r="F119" s="26" t="s">
        <v>54</v>
      </c>
      <c r="G119" s="26" t="s">
        <v>55</v>
      </c>
      <c r="H119" s="26" t="s">
        <v>41</v>
      </c>
      <c r="I119" s="26" t="s">
        <v>106</v>
      </c>
      <c r="J119" s="27">
        <v>6</v>
      </c>
      <c r="K119" s="28">
        <v>20979.5</v>
      </c>
      <c r="L119" s="27">
        <v>0</v>
      </c>
      <c r="M119" s="22">
        <f t="shared" si="1"/>
        <v>0</v>
      </c>
      <c r="N119" s="28">
        <v>125877</v>
      </c>
      <c r="O119" s="28">
        <v>96000</v>
      </c>
      <c r="P119" s="28">
        <v>29877</v>
      </c>
      <c r="Q119" s="72" t="str">
        <f>IF(retail_store_performance_dashbo!$P119&gt;0,"Profit",IF(retail_store_performance_dashbo!$P119&lt;0,"Loss","Break Even"))</f>
        <v>Profit</v>
      </c>
      <c r="R119" s="62" t="str" cm="1">
        <f t="array" ref="R119">_xlfn.IFS(L119=0,"No Discount",L119&lt;=5,"Low Discount",L119&lt;=10,"Medium Discount",L119&lt;=20,"High Discount")</f>
        <v>No Discount</v>
      </c>
      <c r="S119" s="26" t="s">
        <v>70</v>
      </c>
      <c r="T119" s="26" t="s">
        <v>36</v>
      </c>
      <c r="U119" s="29">
        <v>3.8</v>
      </c>
      <c r="V119" s="75" t="str" cm="1">
        <f t="array" ref="V119">_xlfn.IFS(U119=0,"Not Rated",U119&gt;=4.5,"High Rating",U119&gt;=3,"Medium Rating",U119&lt;3,"Low Rating")</f>
        <v>Medium Rating</v>
      </c>
    </row>
    <row r="120" spans="1:22" x14ac:dyDescent="0.3">
      <c r="A120" s="18" t="s">
        <v>439</v>
      </c>
      <c r="B120" s="19">
        <v>46079</v>
      </c>
      <c r="C120" s="20" t="s">
        <v>77</v>
      </c>
      <c r="D120" s="20" t="s">
        <v>78</v>
      </c>
      <c r="E120" s="20" t="s">
        <v>79</v>
      </c>
      <c r="F120" s="20" t="s">
        <v>80</v>
      </c>
      <c r="G120" s="20" t="s">
        <v>81</v>
      </c>
      <c r="H120" s="20" t="s">
        <v>45</v>
      </c>
      <c r="I120" s="20" t="s">
        <v>124</v>
      </c>
      <c r="J120" s="21">
        <v>6</v>
      </c>
      <c r="K120" s="22">
        <v>4406.8500000000004</v>
      </c>
      <c r="L120" s="21">
        <v>10</v>
      </c>
      <c r="M120" s="22">
        <f t="shared" si="1"/>
        <v>2644.11</v>
      </c>
      <c r="N120" s="22">
        <v>-23796.99</v>
      </c>
      <c r="O120" s="22">
        <v>15600</v>
      </c>
      <c r="P120" s="22">
        <v>-39396.99</v>
      </c>
      <c r="Q120" s="62" t="str">
        <f>IF(retail_store_performance_dashbo!$P120&gt;0,"Profit",IF(retail_store_performance_dashbo!$P120&lt;0,"Loss","Break Even"))</f>
        <v>Loss</v>
      </c>
      <c r="R120" s="62" t="str" cm="1">
        <f t="array" ref="R120">_xlfn.IFS(L120=0,"No Discount",L120&lt;=5,"Low Discount",L120&lt;=10,"Medium Discount",L120&lt;=20,"High Discount")</f>
        <v>Medium Discount</v>
      </c>
      <c r="S120" s="20" t="s">
        <v>67</v>
      </c>
      <c r="T120" s="20" t="s">
        <v>27</v>
      </c>
      <c r="U120" s="23">
        <v>3.1</v>
      </c>
      <c r="V120" s="75" t="str" cm="1">
        <f t="array" ref="V120">_xlfn.IFS(U120=0,"Not Rated",U120&gt;=4.5,"High Rating",U120&gt;=3,"Medium Rating",U120&lt;3,"Low Rating")</f>
        <v>Medium Rating</v>
      </c>
    </row>
    <row r="121" spans="1:22" x14ac:dyDescent="0.3">
      <c r="A121" s="24" t="s">
        <v>556</v>
      </c>
      <c r="B121" s="25">
        <v>46079</v>
      </c>
      <c r="C121" s="26" t="s">
        <v>38</v>
      </c>
      <c r="D121" s="26" t="s">
        <v>39</v>
      </c>
      <c r="E121" s="26" t="s">
        <v>39</v>
      </c>
      <c r="F121" s="26" t="s">
        <v>32</v>
      </c>
      <c r="G121" s="26" t="s">
        <v>40</v>
      </c>
      <c r="H121" s="26" t="s">
        <v>24</v>
      </c>
      <c r="I121" s="26" t="s">
        <v>75</v>
      </c>
      <c r="J121" s="27">
        <v>6</v>
      </c>
      <c r="K121" s="28">
        <v>462.66</v>
      </c>
      <c r="L121" s="27">
        <v>20</v>
      </c>
      <c r="M121" s="22">
        <f t="shared" si="1"/>
        <v>555.19200000000001</v>
      </c>
      <c r="N121" s="28">
        <v>2220.77</v>
      </c>
      <c r="O121" s="28">
        <v>1740</v>
      </c>
      <c r="P121" s="28">
        <v>480.77</v>
      </c>
      <c r="Q121" s="72" t="str">
        <f>IF(retail_store_performance_dashbo!$P121&gt;0,"Profit",IF(retail_store_performance_dashbo!$P121&lt;0,"Loss","Break Even"))</f>
        <v>Profit</v>
      </c>
      <c r="R121" s="62" t="str" cm="1">
        <f t="array" ref="R121">_xlfn.IFS(L121=0,"No Discount",L121&lt;=5,"Low Discount",L121&lt;=10,"Medium Discount",L121&lt;=20,"High Discount")</f>
        <v>High Discount</v>
      </c>
      <c r="S121" s="26" t="s">
        <v>26</v>
      </c>
      <c r="T121" s="26" t="s">
        <v>36</v>
      </c>
      <c r="U121" s="29">
        <v>4.3</v>
      </c>
      <c r="V121" s="75" t="str" cm="1">
        <f t="array" ref="V121">_xlfn.IFS(U121=0,"Not Rated",U121&gt;=4.5,"High Rating",U121&gt;=3,"Medium Rating",U121&lt;3,"Low Rating")</f>
        <v>Medium Rating</v>
      </c>
    </row>
    <row r="122" spans="1:22" x14ac:dyDescent="0.3">
      <c r="A122" s="18" t="s">
        <v>230</v>
      </c>
      <c r="B122" s="19">
        <v>46081</v>
      </c>
      <c r="C122" s="20" t="s">
        <v>38</v>
      </c>
      <c r="D122" s="20" t="s">
        <v>39</v>
      </c>
      <c r="E122" s="20" t="s">
        <v>39</v>
      </c>
      <c r="F122" s="20" t="s">
        <v>32</v>
      </c>
      <c r="G122" s="20" t="s">
        <v>40</v>
      </c>
      <c r="H122" s="20" t="s">
        <v>41</v>
      </c>
      <c r="I122" s="20" t="s">
        <v>135</v>
      </c>
      <c r="J122" s="21">
        <v>1</v>
      </c>
      <c r="K122" s="22">
        <v>1852.96</v>
      </c>
      <c r="L122" s="21">
        <v>0</v>
      </c>
      <c r="M122" s="22">
        <f t="shared" si="1"/>
        <v>0</v>
      </c>
      <c r="N122" s="22">
        <v>0</v>
      </c>
      <c r="O122" s="22">
        <v>1100</v>
      </c>
      <c r="P122" s="22">
        <v>0</v>
      </c>
      <c r="Q122" s="62" t="str">
        <f>IF(retail_store_performance_dashbo!$P122&gt;0,"Profit",IF(retail_store_performance_dashbo!$P122&lt;0,"Loss","Break Even"))</f>
        <v>Break Even</v>
      </c>
      <c r="R122" s="62" t="str" cm="1">
        <f t="array" ref="R122">_xlfn.IFS(L122=0,"No Discount",L122&lt;=5,"Low Discount",L122&lt;=10,"Medium Discount",L122&lt;=20,"High Discount")</f>
        <v>No Discount</v>
      </c>
      <c r="S122" s="20" t="s">
        <v>43</v>
      </c>
      <c r="T122" s="20" t="s">
        <v>83</v>
      </c>
      <c r="U122" s="23">
        <v>0</v>
      </c>
      <c r="V122" s="75" t="str" cm="1">
        <f t="array" ref="V122">_xlfn.IFS(U122=0,"Not Rated",U122&gt;=4.5,"High Rating",U122&gt;=3,"Medium Rating",U122&lt;3,"Low Rating")</f>
        <v>Not Rated</v>
      </c>
    </row>
    <row r="123" spans="1:22" x14ac:dyDescent="0.3">
      <c r="A123" s="24" t="s">
        <v>300</v>
      </c>
      <c r="B123" s="25">
        <v>46081</v>
      </c>
      <c r="C123" s="26" t="s">
        <v>146</v>
      </c>
      <c r="D123" s="26" t="s">
        <v>147</v>
      </c>
      <c r="E123" s="26" t="s">
        <v>148</v>
      </c>
      <c r="F123" s="26" t="s">
        <v>22</v>
      </c>
      <c r="G123" s="26" t="s">
        <v>149</v>
      </c>
      <c r="H123" s="26" t="s">
        <v>24</v>
      </c>
      <c r="I123" s="26" t="s">
        <v>25</v>
      </c>
      <c r="J123" s="27">
        <v>4</v>
      </c>
      <c r="K123" s="28">
        <v>364.93</v>
      </c>
      <c r="L123" s="27">
        <v>5</v>
      </c>
      <c r="M123" s="22">
        <f t="shared" si="1"/>
        <v>72.986000000000004</v>
      </c>
      <c r="N123" s="28">
        <v>1386.73</v>
      </c>
      <c r="O123" s="28">
        <v>880</v>
      </c>
      <c r="P123" s="28">
        <v>506.73</v>
      </c>
      <c r="Q123" s="72" t="str">
        <f>IF(retail_store_performance_dashbo!$P123&gt;0,"Profit",IF(retail_store_performance_dashbo!$P123&lt;0,"Loss","Break Even"))</f>
        <v>Profit</v>
      </c>
      <c r="R123" s="62" t="str" cm="1">
        <f t="array" ref="R123">_xlfn.IFS(L123=0,"No Discount",L123&lt;=5,"Low Discount",L123&lt;=10,"Medium Discount",L123&lt;=20,"High Discount")</f>
        <v>Low Discount</v>
      </c>
      <c r="S123" s="26" t="s">
        <v>43</v>
      </c>
      <c r="T123" s="26" t="s">
        <v>36</v>
      </c>
      <c r="U123" s="29">
        <v>4.7</v>
      </c>
      <c r="V123" s="75" t="str" cm="1">
        <f t="array" ref="V123">_xlfn.IFS(U123=0,"Not Rated",U123&gt;=4.5,"High Rating",U123&gt;=3,"Medium Rating",U123&lt;3,"Low Rating")</f>
        <v>High Rating</v>
      </c>
    </row>
    <row r="124" spans="1:22" x14ac:dyDescent="0.3">
      <c r="A124" s="18" t="s">
        <v>155</v>
      </c>
      <c r="B124" s="19">
        <v>46082</v>
      </c>
      <c r="C124" s="20" t="s">
        <v>61</v>
      </c>
      <c r="D124" s="20" t="s">
        <v>62</v>
      </c>
      <c r="E124" s="20" t="s">
        <v>63</v>
      </c>
      <c r="F124" s="20" t="s">
        <v>22</v>
      </c>
      <c r="G124" s="20" t="s">
        <v>64</v>
      </c>
      <c r="H124" s="20" t="s">
        <v>48</v>
      </c>
      <c r="I124" s="20" t="s">
        <v>49</v>
      </c>
      <c r="J124" s="21">
        <v>3</v>
      </c>
      <c r="K124" s="22">
        <v>275.73</v>
      </c>
      <c r="L124" s="21">
        <v>20</v>
      </c>
      <c r="M124" s="22">
        <f t="shared" si="1"/>
        <v>165.43800000000002</v>
      </c>
      <c r="N124" s="22">
        <v>661.75</v>
      </c>
      <c r="O124" s="22">
        <v>630</v>
      </c>
      <c r="P124" s="22">
        <v>31.75</v>
      </c>
      <c r="Q124" s="62" t="str">
        <f>IF(retail_store_performance_dashbo!$P124&gt;0,"Profit",IF(retail_store_performance_dashbo!$P124&lt;0,"Loss","Break Even"))</f>
        <v>Profit</v>
      </c>
      <c r="R124" s="62" t="str" cm="1">
        <f t="array" ref="R124">_xlfn.IFS(L124=0,"No Discount",L124&lt;=5,"Low Discount",L124&lt;=10,"Medium Discount",L124&lt;=20,"High Discount")</f>
        <v>High Discount</v>
      </c>
      <c r="S124" s="20" t="s">
        <v>70</v>
      </c>
      <c r="T124" s="20" t="s">
        <v>36</v>
      </c>
      <c r="U124" s="23">
        <v>4.8</v>
      </c>
      <c r="V124" s="75" t="str" cm="1">
        <f t="array" ref="V124">_xlfn.IFS(U124=0,"Not Rated",U124&gt;=4.5,"High Rating",U124&gt;=3,"Medium Rating",U124&lt;3,"Low Rating")</f>
        <v>High Rating</v>
      </c>
    </row>
    <row r="125" spans="1:22" x14ac:dyDescent="0.3">
      <c r="A125" s="24" t="s">
        <v>281</v>
      </c>
      <c r="B125" s="25">
        <v>46082</v>
      </c>
      <c r="C125" s="26" t="s">
        <v>146</v>
      </c>
      <c r="D125" s="26" t="s">
        <v>147</v>
      </c>
      <c r="E125" s="26" t="s">
        <v>148</v>
      </c>
      <c r="F125" s="26" t="s">
        <v>22</v>
      </c>
      <c r="G125" s="26" t="s">
        <v>149</v>
      </c>
      <c r="H125" s="26" t="s">
        <v>45</v>
      </c>
      <c r="I125" s="26" t="s">
        <v>88</v>
      </c>
      <c r="J125" s="27">
        <v>3</v>
      </c>
      <c r="K125" s="28">
        <v>932.94</v>
      </c>
      <c r="L125" s="27">
        <v>15</v>
      </c>
      <c r="M125" s="22">
        <f t="shared" si="1"/>
        <v>419.82300000000004</v>
      </c>
      <c r="N125" s="28">
        <v>2379</v>
      </c>
      <c r="O125" s="28">
        <v>1500</v>
      </c>
      <c r="P125" s="28">
        <v>879</v>
      </c>
      <c r="Q125" s="72" t="str">
        <f>IF(retail_store_performance_dashbo!$P125&gt;0,"Profit",IF(retail_store_performance_dashbo!$P125&lt;0,"Loss","Break Even"))</f>
        <v>Profit</v>
      </c>
      <c r="R125" s="62" t="str" cm="1">
        <f t="array" ref="R125">_xlfn.IFS(L125=0,"No Discount",L125&lt;=5,"Low Discount",L125&lt;=10,"Medium Discount",L125&lt;=20,"High Discount")</f>
        <v>High Discount</v>
      </c>
      <c r="S125" s="26" t="s">
        <v>43</v>
      </c>
      <c r="T125" s="26" t="s">
        <v>36</v>
      </c>
      <c r="U125" s="29">
        <v>4.8</v>
      </c>
      <c r="V125" s="75" t="str" cm="1">
        <f t="array" ref="V125">_xlfn.IFS(U125=0,"Not Rated",U125&gt;=4.5,"High Rating",U125&gt;=3,"Medium Rating",U125&lt;3,"Low Rating")</f>
        <v>High Rating</v>
      </c>
    </row>
    <row r="126" spans="1:22" x14ac:dyDescent="0.3">
      <c r="A126" s="18" t="s">
        <v>371</v>
      </c>
      <c r="B126" s="19">
        <v>46082</v>
      </c>
      <c r="C126" s="20" t="s">
        <v>19</v>
      </c>
      <c r="D126" s="20" t="s">
        <v>20</v>
      </c>
      <c r="E126" s="20" t="s">
        <v>21</v>
      </c>
      <c r="F126" s="20" t="s">
        <v>22</v>
      </c>
      <c r="G126" s="20" t="s">
        <v>23</v>
      </c>
      <c r="H126" s="20" t="s">
        <v>48</v>
      </c>
      <c r="I126" s="20" t="s">
        <v>113</v>
      </c>
      <c r="J126" s="21">
        <v>5</v>
      </c>
      <c r="K126" s="22">
        <v>155.03</v>
      </c>
      <c r="L126" s="21">
        <v>10</v>
      </c>
      <c r="M126" s="22">
        <f t="shared" si="1"/>
        <v>77.515000000000001</v>
      </c>
      <c r="N126" s="22">
        <v>697.63</v>
      </c>
      <c r="O126" s="22">
        <v>600</v>
      </c>
      <c r="P126" s="22">
        <v>97.63</v>
      </c>
      <c r="Q126" s="62" t="str">
        <f>IF(retail_store_performance_dashbo!$P126&gt;0,"Profit",IF(retail_store_performance_dashbo!$P126&lt;0,"Loss","Break Even"))</f>
        <v>Profit</v>
      </c>
      <c r="R126" s="62" t="str" cm="1">
        <f t="array" ref="R126">_xlfn.IFS(L126=0,"No Discount",L126&lt;=5,"Low Discount",L126&lt;=10,"Medium Discount",L126&lt;=20,"High Discount")</f>
        <v>Medium Discount</v>
      </c>
      <c r="S126" s="20" t="s">
        <v>70</v>
      </c>
      <c r="T126" s="20" t="s">
        <v>36</v>
      </c>
      <c r="U126" s="23">
        <v>3.5</v>
      </c>
      <c r="V126" s="75" t="str" cm="1">
        <f t="array" ref="V126">_xlfn.IFS(U126=0,"Not Rated",U126&gt;=4.5,"High Rating",U126&gt;=3,"Medium Rating",U126&lt;3,"Low Rating")</f>
        <v>Medium Rating</v>
      </c>
    </row>
    <row r="127" spans="1:22" x14ac:dyDescent="0.3">
      <c r="A127" s="24" t="s">
        <v>112</v>
      </c>
      <c r="B127" s="25">
        <v>46083</v>
      </c>
      <c r="C127" s="26" t="s">
        <v>51</v>
      </c>
      <c r="D127" s="26" t="s">
        <v>52</v>
      </c>
      <c r="E127" s="26" t="s">
        <v>53</v>
      </c>
      <c r="F127" s="26" t="s">
        <v>54</v>
      </c>
      <c r="G127" s="26" t="s">
        <v>55</v>
      </c>
      <c r="H127" s="26" t="s">
        <v>48</v>
      </c>
      <c r="I127" s="26" t="s">
        <v>113</v>
      </c>
      <c r="J127" s="27">
        <v>1</v>
      </c>
      <c r="K127" s="28">
        <v>143.91</v>
      </c>
      <c r="L127" s="27">
        <v>10</v>
      </c>
      <c r="M127" s="22">
        <f t="shared" si="1"/>
        <v>14.390999999999998</v>
      </c>
      <c r="N127" s="28">
        <v>129.52000000000001</v>
      </c>
      <c r="O127" s="28">
        <v>120</v>
      </c>
      <c r="P127" s="28">
        <v>9.52</v>
      </c>
      <c r="Q127" s="72" t="str">
        <f>IF(retail_store_performance_dashbo!$P127&gt;0,"Profit",IF(retail_store_performance_dashbo!$P127&lt;0,"Loss","Break Even"))</f>
        <v>Profit</v>
      </c>
      <c r="R127" s="62" t="str" cm="1">
        <f t="array" ref="R127">_xlfn.IFS(L127=0,"No Discount",L127&lt;=5,"Low Discount",L127&lt;=10,"Medium Discount",L127&lt;=20,"High Discount")</f>
        <v>Medium Discount</v>
      </c>
      <c r="S127" s="26" t="s">
        <v>26</v>
      </c>
      <c r="T127" s="26" t="s">
        <v>36</v>
      </c>
      <c r="U127" s="29">
        <v>3.9</v>
      </c>
      <c r="V127" s="75" t="str" cm="1">
        <f t="array" ref="V127">_xlfn.IFS(U127=0,"Not Rated",U127&gt;=4.5,"High Rating",U127&gt;=3,"Medium Rating",U127&lt;3,"Low Rating")</f>
        <v>Medium Rating</v>
      </c>
    </row>
    <row r="128" spans="1:22" x14ac:dyDescent="0.3">
      <c r="A128" s="18" t="s">
        <v>189</v>
      </c>
      <c r="B128" s="19">
        <v>46083</v>
      </c>
      <c r="C128" s="20" t="s">
        <v>61</v>
      </c>
      <c r="D128" s="20" t="s">
        <v>62</v>
      </c>
      <c r="E128" s="20" t="s">
        <v>63</v>
      </c>
      <c r="F128" s="20" t="s">
        <v>22</v>
      </c>
      <c r="G128" s="20" t="s">
        <v>64</v>
      </c>
      <c r="H128" s="20" t="s">
        <v>41</v>
      </c>
      <c r="I128" s="20" t="s">
        <v>92</v>
      </c>
      <c r="J128" s="21">
        <v>5</v>
      </c>
      <c r="K128" s="22">
        <v>54186.07</v>
      </c>
      <c r="L128" s="21">
        <v>15</v>
      </c>
      <c r="M128" s="22">
        <f t="shared" si="1"/>
        <v>40639.552499999998</v>
      </c>
      <c r="N128" s="22">
        <v>230290.8</v>
      </c>
      <c r="O128" s="22">
        <v>210000</v>
      </c>
      <c r="P128" s="22">
        <v>20290.8</v>
      </c>
      <c r="Q128" s="62" t="str">
        <f>IF(retail_store_performance_dashbo!$P128&gt;0,"Profit",IF(retail_store_performance_dashbo!$P128&lt;0,"Loss","Break Even"))</f>
        <v>Profit</v>
      </c>
      <c r="R128" s="62" t="str" cm="1">
        <f t="array" ref="R128">_xlfn.IFS(L128=0,"No Discount",L128&lt;=5,"Low Discount",L128&lt;=10,"Medium Discount",L128&lt;=20,"High Discount")</f>
        <v>High Discount</v>
      </c>
      <c r="S128" s="20" t="s">
        <v>67</v>
      </c>
      <c r="T128" s="20" t="s">
        <v>36</v>
      </c>
      <c r="U128" s="23">
        <v>3.5</v>
      </c>
      <c r="V128" s="75" t="str" cm="1">
        <f t="array" ref="V128">_xlfn.IFS(U128=0,"Not Rated",U128&gt;=4.5,"High Rating",U128&gt;=3,"Medium Rating",U128&lt;3,"Low Rating")</f>
        <v>Medium Rating</v>
      </c>
    </row>
    <row r="129" spans="1:22" x14ac:dyDescent="0.3">
      <c r="A129" s="24" t="s">
        <v>461</v>
      </c>
      <c r="B129" s="25">
        <v>46083</v>
      </c>
      <c r="C129" s="26" t="s">
        <v>29</v>
      </c>
      <c r="D129" s="26" t="s">
        <v>30</v>
      </c>
      <c r="E129" s="26" t="s">
        <v>31</v>
      </c>
      <c r="F129" s="26" t="s">
        <v>32</v>
      </c>
      <c r="G129" s="26" t="s">
        <v>33</v>
      </c>
      <c r="H129" s="26" t="s">
        <v>45</v>
      </c>
      <c r="I129" s="26" t="s">
        <v>124</v>
      </c>
      <c r="J129" s="27">
        <v>3</v>
      </c>
      <c r="K129" s="28">
        <v>4339.5200000000004</v>
      </c>
      <c r="L129" s="27">
        <v>10</v>
      </c>
      <c r="M129" s="22">
        <f t="shared" si="1"/>
        <v>1301.856</v>
      </c>
      <c r="N129" s="28">
        <v>11716.7</v>
      </c>
      <c r="O129" s="28">
        <v>7800</v>
      </c>
      <c r="P129" s="28">
        <v>3916.7</v>
      </c>
      <c r="Q129" s="72" t="str">
        <f>IF(retail_store_performance_dashbo!$P129&gt;0,"Profit",IF(retail_store_performance_dashbo!$P129&lt;0,"Loss","Break Even"))</f>
        <v>Profit</v>
      </c>
      <c r="R129" s="62" t="str" cm="1">
        <f t="array" ref="R129">_xlfn.IFS(L129=0,"No Discount",L129&lt;=5,"Low Discount",L129&lt;=10,"Medium Discount",L129&lt;=20,"High Discount")</f>
        <v>Medium Discount</v>
      </c>
      <c r="S129" s="26" t="s">
        <v>43</v>
      </c>
      <c r="T129" s="26" t="s">
        <v>36</v>
      </c>
      <c r="U129" s="29">
        <v>3.3</v>
      </c>
      <c r="V129" s="75" t="str" cm="1">
        <f t="array" ref="V129">_xlfn.IFS(U129=0,"Not Rated",U129&gt;=4.5,"High Rating",U129&gt;=3,"Medium Rating",U129&lt;3,"Low Rating")</f>
        <v>Medium Rating</v>
      </c>
    </row>
    <row r="130" spans="1:22" x14ac:dyDescent="0.3">
      <c r="A130" s="18" t="s">
        <v>429</v>
      </c>
      <c r="B130" s="19">
        <v>46085</v>
      </c>
      <c r="C130" s="20" t="s">
        <v>97</v>
      </c>
      <c r="D130" s="20" t="s">
        <v>98</v>
      </c>
      <c r="E130" s="20" t="s">
        <v>99</v>
      </c>
      <c r="F130" s="20" t="s">
        <v>54</v>
      </c>
      <c r="G130" s="20" t="s">
        <v>100</v>
      </c>
      <c r="H130" s="20" t="s">
        <v>58</v>
      </c>
      <c r="I130" s="20" t="s">
        <v>69</v>
      </c>
      <c r="J130" s="21">
        <v>1</v>
      </c>
      <c r="K130" s="22">
        <v>691.25</v>
      </c>
      <c r="L130" s="21">
        <v>5</v>
      </c>
      <c r="M130" s="22">
        <f t="shared" si="1"/>
        <v>34.5625</v>
      </c>
      <c r="N130" s="22">
        <v>656.69</v>
      </c>
      <c r="O130" s="22">
        <v>400</v>
      </c>
      <c r="P130" s="22">
        <v>256.69</v>
      </c>
      <c r="Q130" s="62" t="str">
        <f>IF(retail_store_performance_dashbo!$P130&gt;0,"Profit",IF(retail_store_performance_dashbo!$P130&lt;0,"Loss","Break Even"))</f>
        <v>Profit</v>
      </c>
      <c r="R130" s="62" t="str" cm="1">
        <f t="array" ref="R130">_xlfn.IFS(L130=0,"No Discount",L130&lt;=5,"Low Discount",L130&lt;=10,"Medium Discount",L130&lt;=20,"High Discount")</f>
        <v>Low Discount</v>
      </c>
      <c r="S130" s="20" t="s">
        <v>26</v>
      </c>
      <c r="T130" s="20" t="s">
        <v>36</v>
      </c>
      <c r="U130" s="23">
        <v>4.2</v>
      </c>
      <c r="V130" s="75" t="str" cm="1">
        <f t="array" ref="V130">_xlfn.IFS(U130=0,"Not Rated",U130&gt;=4.5,"High Rating",U130&gt;=3,"Medium Rating",U130&lt;3,"Low Rating")</f>
        <v>Medium Rating</v>
      </c>
    </row>
    <row r="131" spans="1:22" x14ac:dyDescent="0.3">
      <c r="A131" s="24" t="s">
        <v>258</v>
      </c>
      <c r="B131" s="25">
        <v>46086</v>
      </c>
      <c r="C131" s="26" t="s">
        <v>19</v>
      </c>
      <c r="D131" s="26" t="s">
        <v>20</v>
      </c>
      <c r="E131" s="26" t="s">
        <v>21</v>
      </c>
      <c r="F131" s="26" t="s">
        <v>22</v>
      </c>
      <c r="G131" s="26" t="s">
        <v>23</v>
      </c>
      <c r="H131" s="26" t="s">
        <v>24</v>
      </c>
      <c r="I131" s="26" t="s">
        <v>34</v>
      </c>
      <c r="J131" s="27">
        <v>3</v>
      </c>
      <c r="K131" s="28">
        <v>1880.85</v>
      </c>
      <c r="L131" s="27">
        <v>10</v>
      </c>
      <c r="M131" s="22">
        <f t="shared" ref="M131:M194" si="2">J131*K131*L131/100</f>
        <v>564.25499999999988</v>
      </c>
      <c r="N131" s="28">
        <v>5078.29</v>
      </c>
      <c r="O131" s="28">
        <v>3150</v>
      </c>
      <c r="P131" s="28">
        <v>1928.29</v>
      </c>
      <c r="Q131" s="72" t="str">
        <f>IF(retail_store_performance_dashbo!$P131&gt;0,"Profit",IF(retail_store_performance_dashbo!$P131&lt;0,"Loss","Break Even"))</f>
        <v>Profit</v>
      </c>
      <c r="R131" s="62" t="str" cm="1">
        <f t="array" ref="R131">_xlfn.IFS(L131=0,"No Discount",L131&lt;=5,"Low Discount",L131&lt;=10,"Medium Discount",L131&lt;=20,"High Discount")</f>
        <v>Medium Discount</v>
      </c>
      <c r="S131" s="26" t="s">
        <v>70</v>
      </c>
      <c r="T131" s="26" t="s">
        <v>36</v>
      </c>
      <c r="U131" s="29">
        <v>3.5</v>
      </c>
      <c r="V131" s="75" t="str" cm="1">
        <f t="array" ref="V131">_xlfn.IFS(U131=0,"Not Rated",U131&gt;=4.5,"High Rating",U131&gt;=3,"Medium Rating",U131&lt;3,"Low Rating")</f>
        <v>Medium Rating</v>
      </c>
    </row>
    <row r="132" spans="1:22" x14ac:dyDescent="0.3">
      <c r="A132" s="18" t="s">
        <v>456</v>
      </c>
      <c r="B132" s="19">
        <v>46086</v>
      </c>
      <c r="C132" s="20" t="s">
        <v>51</v>
      </c>
      <c r="D132" s="20" t="s">
        <v>52</v>
      </c>
      <c r="E132" s="20" t="s">
        <v>53</v>
      </c>
      <c r="F132" s="20" t="s">
        <v>54</v>
      </c>
      <c r="G132" s="20" t="s">
        <v>55</v>
      </c>
      <c r="H132" s="20" t="s">
        <v>45</v>
      </c>
      <c r="I132" s="20" t="s">
        <v>46</v>
      </c>
      <c r="J132" s="21">
        <v>3</v>
      </c>
      <c r="K132" s="22">
        <v>3158.05</v>
      </c>
      <c r="L132" s="21">
        <v>5</v>
      </c>
      <c r="M132" s="22">
        <f t="shared" si="2"/>
        <v>473.7075000000001</v>
      </c>
      <c r="N132" s="22">
        <v>9000.44</v>
      </c>
      <c r="O132" s="22">
        <v>5700</v>
      </c>
      <c r="P132" s="22">
        <v>3300.44</v>
      </c>
      <c r="Q132" s="62" t="str">
        <f>IF(retail_store_performance_dashbo!$P132&gt;0,"Profit",IF(retail_store_performance_dashbo!$P132&lt;0,"Loss","Break Even"))</f>
        <v>Profit</v>
      </c>
      <c r="R132" s="62" t="str" cm="1">
        <f t="array" ref="R132">_xlfn.IFS(L132=0,"No Discount",L132&lt;=5,"Low Discount",L132&lt;=10,"Medium Discount",L132&lt;=20,"High Discount")</f>
        <v>Low Discount</v>
      </c>
      <c r="S132" s="20" t="s">
        <v>43</v>
      </c>
      <c r="T132" s="20" t="s">
        <v>36</v>
      </c>
      <c r="U132" s="23">
        <v>4.2</v>
      </c>
      <c r="V132" s="75" t="str" cm="1">
        <f t="array" ref="V132">_xlfn.IFS(U132=0,"Not Rated",U132&gt;=4.5,"High Rating",U132&gt;=3,"Medium Rating",U132&lt;3,"Low Rating")</f>
        <v>Medium Rating</v>
      </c>
    </row>
    <row r="133" spans="1:22" x14ac:dyDescent="0.3">
      <c r="A133" s="24" t="s">
        <v>518</v>
      </c>
      <c r="B133" s="25">
        <v>46086</v>
      </c>
      <c r="C133" s="26" t="s">
        <v>38</v>
      </c>
      <c r="D133" s="26" t="s">
        <v>39</v>
      </c>
      <c r="E133" s="26" t="s">
        <v>39</v>
      </c>
      <c r="F133" s="26" t="s">
        <v>32</v>
      </c>
      <c r="G133" s="26" t="s">
        <v>40</v>
      </c>
      <c r="H133" s="26" t="s">
        <v>45</v>
      </c>
      <c r="I133" s="26" t="s">
        <v>101</v>
      </c>
      <c r="J133" s="27">
        <v>1</v>
      </c>
      <c r="K133" s="28">
        <v>1730.59</v>
      </c>
      <c r="L133" s="27">
        <v>10</v>
      </c>
      <c r="M133" s="22">
        <f t="shared" si="2"/>
        <v>173.05899999999997</v>
      </c>
      <c r="N133" s="28">
        <v>1557.53</v>
      </c>
      <c r="O133" s="28">
        <v>1050</v>
      </c>
      <c r="P133" s="28">
        <v>507.53</v>
      </c>
      <c r="Q133" s="72" t="str">
        <f>IF(retail_store_performance_dashbo!$P133&gt;0,"Profit",IF(retail_store_performance_dashbo!$P133&lt;0,"Loss","Break Even"))</f>
        <v>Profit</v>
      </c>
      <c r="R133" s="62" t="str" cm="1">
        <f t="array" ref="R133">_xlfn.IFS(L133=0,"No Discount",L133&lt;=5,"Low Discount",L133&lt;=10,"Medium Discount",L133&lt;=20,"High Discount")</f>
        <v>Medium Discount</v>
      </c>
      <c r="S133" s="26" t="s">
        <v>26</v>
      </c>
      <c r="T133" s="26" t="s">
        <v>36</v>
      </c>
      <c r="U133" s="29">
        <v>3.2</v>
      </c>
      <c r="V133" s="75" t="str" cm="1">
        <f t="array" ref="V133">_xlfn.IFS(U133=0,"Not Rated",U133&gt;=4.5,"High Rating",U133&gt;=3,"Medium Rating",U133&lt;3,"Low Rating")</f>
        <v>Medium Rating</v>
      </c>
    </row>
    <row r="134" spans="1:22" x14ac:dyDescent="0.3">
      <c r="A134" s="18" t="s">
        <v>539</v>
      </c>
      <c r="B134" s="19">
        <v>46086</v>
      </c>
      <c r="C134" s="20" t="s">
        <v>77</v>
      </c>
      <c r="D134" s="20" t="s">
        <v>78</v>
      </c>
      <c r="E134" s="20" t="s">
        <v>79</v>
      </c>
      <c r="F134" s="20" t="s">
        <v>80</v>
      </c>
      <c r="G134" s="20" t="s">
        <v>81</v>
      </c>
      <c r="H134" s="20" t="s">
        <v>45</v>
      </c>
      <c r="I134" s="20" t="s">
        <v>101</v>
      </c>
      <c r="J134" s="21">
        <v>1</v>
      </c>
      <c r="K134" s="22">
        <v>1799.68</v>
      </c>
      <c r="L134" s="21">
        <v>20</v>
      </c>
      <c r="M134" s="22">
        <f t="shared" si="2"/>
        <v>359.93599999999998</v>
      </c>
      <c r="N134" s="22">
        <v>-1439.74</v>
      </c>
      <c r="O134" s="22">
        <v>1050</v>
      </c>
      <c r="P134" s="22">
        <v>-2489.7399999999998</v>
      </c>
      <c r="Q134" s="62" t="str">
        <f>IF(retail_store_performance_dashbo!$P134&gt;0,"Profit",IF(retail_store_performance_dashbo!$P134&lt;0,"Loss","Break Even"))</f>
        <v>Loss</v>
      </c>
      <c r="R134" s="62" t="str" cm="1">
        <f t="array" ref="R134">_xlfn.IFS(L134=0,"No Discount",L134&lt;=5,"Low Discount",L134&lt;=10,"Medium Discount",L134&lt;=20,"High Discount")</f>
        <v>High Discount</v>
      </c>
      <c r="S134" s="20" t="s">
        <v>26</v>
      </c>
      <c r="T134" s="20" t="s">
        <v>27</v>
      </c>
      <c r="U134" s="23">
        <v>5</v>
      </c>
      <c r="V134" s="75" t="str" cm="1">
        <f t="array" ref="V134">_xlfn.IFS(U134=0,"Not Rated",U134&gt;=4.5,"High Rating",U134&gt;=3,"Medium Rating",U134&lt;3,"Low Rating")</f>
        <v>High Rating</v>
      </c>
    </row>
    <row r="135" spans="1:22" x14ac:dyDescent="0.3">
      <c r="A135" s="24" t="s">
        <v>200</v>
      </c>
      <c r="B135" s="25">
        <v>46087</v>
      </c>
      <c r="C135" s="26" t="s">
        <v>61</v>
      </c>
      <c r="D135" s="26" t="s">
        <v>62</v>
      </c>
      <c r="E135" s="26" t="s">
        <v>63</v>
      </c>
      <c r="F135" s="26" t="s">
        <v>22</v>
      </c>
      <c r="G135" s="26" t="s">
        <v>64</v>
      </c>
      <c r="H135" s="26" t="s">
        <v>24</v>
      </c>
      <c r="I135" s="26" t="s">
        <v>66</v>
      </c>
      <c r="J135" s="27">
        <v>4</v>
      </c>
      <c r="K135" s="28">
        <v>548.32000000000005</v>
      </c>
      <c r="L135" s="27">
        <v>10</v>
      </c>
      <c r="M135" s="22">
        <f t="shared" si="2"/>
        <v>219.32800000000003</v>
      </c>
      <c r="N135" s="28">
        <v>1973.95</v>
      </c>
      <c r="O135" s="28">
        <v>1360</v>
      </c>
      <c r="P135" s="28">
        <v>613.95000000000005</v>
      </c>
      <c r="Q135" s="72" t="str">
        <f>IF(retail_store_performance_dashbo!$P135&gt;0,"Profit",IF(retail_store_performance_dashbo!$P135&lt;0,"Loss","Break Even"))</f>
        <v>Profit</v>
      </c>
      <c r="R135" s="62" t="str" cm="1">
        <f t="array" ref="R135">_xlfn.IFS(L135=0,"No Discount",L135&lt;=5,"Low Discount",L135&lt;=10,"Medium Discount",L135&lt;=20,"High Discount")</f>
        <v>Medium Discount</v>
      </c>
      <c r="S135" s="26" t="s">
        <v>26</v>
      </c>
      <c r="T135" s="26" t="s">
        <v>36</v>
      </c>
      <c r="U135" s="29">
        <v>3.2</v>
      </c>
      <c r="V135" s="75" t="str" cm="1">
        <f t="array" ref="V135">_xlfn.IFS(U135=0,"Not Rated",U135&gt;=4.5,"High Rating",U135&gt;=3,"Medium Rating",U135&lt;3,"Low Rating")</f>
        <v>Medium Rating</v>
      </c>
    </row>
    <row r="136" spans="1:22" x14ac:dyDescent="0.3">
      <c r="A136" s="18" t="s">
        <v>557</v>
      </c>
      <c r="B136" s="19">
        <v>46087</v>
      </c>
      <c r="C136" s="20" t="s">
        <v>97</v>
      </c>
      <c r="D136" s="20" t="s">
        <v>98</v>
      </c>
      <c r="E136" s="20" t="s">
        <v>99</v>
      </c>
      <c r="F136" s="20" t="s">
        <v>54</v>
      </c>
      <c r="G136" s="20" t="s">
        <v>100</v>
      </c>
      <c r="H136" s="20" t="s">
        <v>48</v>
      </c>
      <c r="I136" s="20" t="s">
        <v>109</v>
      </c>
      <c r="J136" s="21">
        <v>5</v>
      </c>
      <c r="K136" s="22">
        <v>621.78</v>
      </c>
      <c r="L136" s="21">
        <v>0</v>
      </c>
      <c r="M136" s="22">
        <f t="shared" si="2"/>
        <v>0</v>
      </c>
      <c r="N136" s="22">
        <v>3108.9</v>
      </c>
      <c r="O136" s="22">
        <v>2550</v>
      </c>
      <c r="P136" s="22">
        <v>558.9</v>
      </c>
      <c r="Q136" s="62" t="str">
        <f>IF(retail_store_performance_dashbo!$P136&gt;0,"Profit",IF(retail_store_performance_dashbo!$P136&lt;0,"Loss","Break Even"))</f>
        <v>Profit</v>
      </c>
      <c r="R136" s="62" t="str" cm="1">
        <f t="array" ref="R136">_xlfn.IFS(L136=0,"No Discount",L136&lt;=5,"Low Discount",L136&lt;=10,"Medium Discount",L136&lt;=20,"High Discount")</f>
        <v>No Discount</v>
      </c>
      <c r="S136" s="20" t="s">
        <v>26</v>
      </c>
      <c r="T136" s="20" t="s">
        <v>36</v>
      </c>
      <c r="U136" s="23">
        <v>3.1</v>
      </c>
      <c r="V136" s="75" t="str" cm="1">
        <f t="array" ref="V136">_xlfn.IFS(U136=0,"Not Rated",U136&gt;=4.5,"High Rating",U136&gt;=3,"Medium Rating",U136&lt;3,"Low Rating")</f>
        <v>Medium Rating</v>
      </c>
    </row>
    <row r="137" spans="1:22" x14ac:dyDescent="0.3">
      <c r="A137" s="24" t="s">
        <v>563</v>
      </c>
      <c r="B137" s="25">
        <v>46087</v>
      </c>
      <c r="C137" s="26" t="s">
        <v>97</v>
      </c>
      <c r="D137" s="26" t="s">
        <v>98</v>
      </c>
      <c r="E137" s="26" t="s">
        <v>99</v>
      </c>
      <c r="F137" s="26" t="s">
        <v>54</v>
      </c>
      <c r="G137" s="26" t="s">
        <v>100</v>
      </c>
      <c r="H137" s="26" t="s">
        <v>24</v>
      </c>
      <c r="I137" s="26" t="s">
        <v>25</v>
      </c>
      <c r="J137" s="27">
        <v>4</v>
      </c>
      <c r="K137" s="28">
        <v>341.84</v>
      </c>
      <c r="L137" s="27">
        <v>15</v>
      </c>
      <c r="M137" s="22">
        <f t="shared" si="2"/>
        <v>205.10399999999998</v>
      </c>
      <c r="N137" s="28">
        <v>1162.26</v>
      </c>
      <c r="O137" s="28">
        <v>880</v>
      </c>
      <c r="P137" s="28">
        <v>282.26</v>
      </c>
      <c r="Q137" s="72" t="str">
        <f>IF(retail_store_performance_dashbo!$P137&gt;0,"Profit",IF(retail_store_performance_dashbo!$P137&lt;0,"Loss","Break Even"))</f>
        <v>Profit</v>
      </c>
      <c r="R137" s="62" t="str" cm="1">
        <f t="array" ref="R137">_xlfn.IFS(L137=0,"No Discount",L137&lt;=5,"Low Discount",L137&lt;=10,"Medium Discount",L137&lt;=20,"High Discount")</f>
        <v>High Discount</v>
      </c>
      <c r="S137" s="26" t="s">
        <v>26</v>
      </c>
      <c r="T137" s="26" t="s">
        <v>36</v>
      </c>
      <c r="U137" s="29">
        <v>4.9000000000000004</v>
      </c>
      <c r="V137" s="75" t="str" cm="1">
        <f t="array" ref="V137">_xlfn.IFS(U137=0,"Not Rated",U137&gt;=4.5,"High Rating",U137&gt;=3,"Medium Rating",U137&lt;3,"Low Rating")</f>
        <v>High Rating</v>
      </c>
    </row>
    <row r="138" spans="1:22" x14ac:dyDescent="0.3">
      <c r="A138" s="18" t="s">
        <v>111</v>
      </c>
      <c r="B138" s="19">
        <v>46088</v>
      </c>
      <c r="C138" s="20" t="s">
        <v>38</v>
      </c>
      <c r="D138" s="20" t="s">
        <v>39</v>
      </c>
      <c r="E138" s="20" t="s">
        <v>39</v>
      </c>
      <c r="F138" s="20" t="s">
        <v>32</v>
      </c>
      <c r="G138" s="20" t="s">
        <v>40</v>
      </c>
      <c r="H138" s="20" t="s">
        <v>41</v>
      </c>
      <c r="I138" s="20" t="s">
        <v>106</v>
      </c>
      <c r="J138" s="21">
        <v>4</v>
      </c>
      <c r="K138" s="22">
        <v>22806.29</v>
      </c>
      <c r="L138" s="21">
        <v>10</v>
      </c>
      <c r="M138" s="22">
        <f t="shared" si="2"/>
        <v>9122.5160000000014</v>
      </c>
      <c r="N138" s="22">
        <v>82102.64</v>
      </c>
      <c r="O138" s="22">
        <v>64000</v>
      </c>
      <c r="P138" s="22">
        <v>18102.64</v>
      </c>
      <c r="Q138" s="62" t="str">
        <f>IF(retail_store_performance_dashbo!$P138&gt;0,"Profit",IF(retail_store_performance_dashbo!$P138&lt;0,"Loss","Break Even"))</f>
        <v>Profit</v>
      </c>
      <c r="R138" s="62" t="str" cm="1">
        <f t="array" ref="R138">_xlfn.IFS(L138=0,"No Discount",L138&lt;=5,"Low Discount",L138&lt;=10,"Medium Discount",L138&lt;=20,"High Discount")</f>
        <v>Medium Discount</v>
      </c>
      <c r="S138" s="20" t="s">
        <v>67</v>
      </c>
      <c r="T138" s="20" t="s">
        <v>36</v>
      </c>
      <c r="U138" s="23">
        <v>3</v>
      </c>
      <c r="V138" s="75" t="str" cm="1">
        <f t="array" ref="V138">_xlfn.IFS(U138=0,"Not Rated",U138&gt;=4.5,"High Rating",U138&gt;=3,"Medium Rating",U138&lt;3,"Low Rating")</f>
        <v>Medium Rating</v>
      </c>
    </row>
    <row r="139" spans="1:22" x14ac:dyDescent="0.3">
      <c r="A139" s="24" t="s">
        <v>392</v>
      </c>
      <c r="B139" s="25">
        <v>46088</v>
      </c>
      <c r="C139" s="26" t="s">
        <v>29</v>
      </c>
      <c r="D139" s="26" t="s">
        <v>30</v>
      </c>
      <c r="E139" s="26" t="s">
        <v>31</v>
      </c>
      <c r="F139" s="26" t="s">
        <v>32</v>
      </c>
      <c r="G139" s="26" t="s">
        <v>33</v>
      </c>
      <c r="H139" s="26" t="s">
        <v>41</v>
      </c>
      <c r="I139" s="26" t="s">
        <v>42</v>
      </c>
      <c r="J139" s="27">
        <v>5</v>
      </c>
      <c r="K139" s="28">
        <v>4692.83</v>
      </c>
      <c r="L139" s="27">
        <v>0</v>
      </c>
      <c r="M139" s="22">
        <f t="shared" si="2"/>
        <v>0</v>
      </c>
      <c r="N139" s="28">
        <v>23464.15</v>
      </c>
      <c r="O139" s="28">
        <v>14500</v>
      </c>
      <c r="P139" s="28">
        <v>8964.15</v>
      </c>
      <c r="Q139" s="72" t="str">
        <f>IF(retail_store_performance_dashbo!$P139&gt;0,"Profit",IF(retail_store_performance_dashbo!$P139&lt;0,"Loss","Break Even"))</f>
        <v>Profit</v>
      </c>
      <c r="R139" s="62" t="str" cm="1">
        <f t="array" ref="R139">_xlfn.IFS(L139=0,"No Discount",L139&lt;=5,"Low Discount",L139&lt;=10,"Medium Discount",L139&lt;=20,"High Discount")</f>
        <v>No Discount</v>
      </c>
      <c r="S139" s="26" t="s">
        <v>35</v>
      </c>
      <c r="T139" s="26" t="s">
        <v>36</v>
      </c>
      <c r="U139" s="29">
        <v>4.5999999999999996</v>
      </c>
      <c r="V139" s="75" t="str" cm="1">
        <f t="array" ref="V139">_xlfn.IFS(U139=0,"Not Rated",U139&gt;=4.5,"High Rating",U139&gt;=3,"Medium Rating",U139&lt;3,"Low Rating")</f>
        <v>High Rating</v>
      </c>
    </row>
    <row r="140" spans="1:22" x14ac:dyDescent="0.3">
      <c r="A140" s="18" t="s">
        <v>510</v>
      </c>
      <c r="B140" s="19">
        <v>46088</v>
      </c>
      <c r="C140" s="20" t="s">
        <v>97</v>
      </c>
      <c r="D140" s="20" t="s">
        <v>98</v>
      </c>
      <c r="E140" s="20" t="s">
        <v>99</v>
      </c>
      <c r="F140" s="20" t="s">
        <v>54</v>
      </c>
      <c r="G140" s="20" t="s">
        <v>100</v>
      </c>
      <c r="H140" s="20" t="s">
        <v>45</v>
      </c>
      <c r="I140" s="20" t="s">
        <v>46</v>
      </c>
      <c r="J140" s="21">
        <v>1</v>
      </c>
      <c r="K140" s="22">
        <v>3131.16</v>
      </c>
      <c r="L140" s="21">
        <v>10</v>
      </c>
      <c r="M140" s="22">
        <f t="shared" si="2"/>
        <v>313.11599999999999</v>
      </c>
      <c r="N140" s="22">
        <v>2818.04</v>
      </c>
      <c r="O140" s="22">
        <v>1900</v>
      </c>
      <c r="P140" s="22">
        <v>918.04</v>
      </c>
      <c r="Q140" s="62" t="str">
        <f>IF(retail_store_performance_dashbo!$P140&gt;0,"Profit",IF(retail_store_performance_dashbo!$P140&lt;0,"Loss","Break Even"))</f>
        <v>Profit</v>
      </c>
      <c r="R140" s="62" t="str" cm="1">
        <f t="array" ref="R140">_xlfn.IFS(L140=0,"No Discount",L140&lt;=5,"Low Discount",L140&lt;=10,"Medium Discount",L140&lt;=20,"High Discount")</f>
        <v>Medium Discount</v>
      </c>
      <c r="S140" s="20" t="s">
        <v>35</v>
      </c>
      <c r="T140" s="20" t="s">
        <v>36</v>
      </c>
      <c r="U140" s="23">
        <v>4.0999999999999996</v>
      </c>
      <c r="V140" s="75" t="str" cm="1">
        <f t="array" ref="V140">_xlfn.IFS(U140=0,"Not Rated",U140&gt;=4.5,"High Rating",U140&gt;=3,"Medium Rating",U140&lt;3,"Low Rating")</f>
        <v>Medium Rating</v>
      </c>
    </row>
    <row r="141" spans="1:22" x14ac:dyDescent="0.3">
      <c r="A141" s="24" t="s">
        <v>349</v>
      </c>
      <c r="B141" s="25">
        <v>46089</v>
      </c>
      <c r="C141" s="26" t="s">
        <v>77</v>
      </c>
      <c r="D141" s="26" t="s">
        <v>78</v>
      </c>
      <c r="E141" s="26" t="s">
        <v>79</v>
      </c>
      <c r="F141" s="26" t="s">
        <v>80</v>
      </c>
      <c r="G141" s="26" t="s">
        <v>81</v>
      </c>
      <c r="H141" s="26" t="s">
        <v>24</v>
      </c>
      <c r="I141" s="26" t="s">
        <v>25</v>
      </c>
      <c r="J141" s="27">
        <v>4</v>
      </c>
      <c r="K141" s="28">
        <v>334.86</v>
      </c>
      <c r="L141" s="27">
        <v>20</v>
      </c>
      <c r="M141" s="22">
        <f t="shared" si="2"/>
        <v>267.88800000000003</v>
      </c>
      <c r="N141" s="28">
        <v>1071.55</v>
      </c>
      <c r="O141" s="28">
        <v>880</v>
      </c>
      <c r="P141" s="28">
        <v>191.55</v>
      </c>
      <c r="Q141" s="72" t="str">
        <f>IF(retail_store_performance_dashbo!$P141&gt;0,"Profit",IF(retail_store_performance_dashbo!$P141&lt;0,"Loss","Break Even"))</f>
        <v>Profit</v>
      </c>
      <c r="R141" s="62" t="str" cm="1">
        <f t="array" ref="R141">_xlfn.IFS(L141=0,"No Discount",L141&lt;=5,"Low Discount",L141&lt;=10,"Medium Discount",L141&lt;=20,"High Discount")</f>
        <v>High Discount</v>
      </c>
      <c r="S141" s="26" t="s">
        <v>35</v>
      </c>
      <c r="T141" s="26" t="s">
        <v>36</v>
      </c>
      <c r="U141" s="29">
        <v>4.8</v>
      </c>
      <c r="V141" s="75" t="str" cm="1">
        <f t="array" ref="V141">_xlfn.IFS(U141=0,"Not Rated",U141&gt;=4.5,"High Rating",U141&gt;=3,"Medium Rating",U141&lt;3,"Low Rating")</f>
        <v>High Rating</v>
      </c>
    </row>
    <row r="142" spans="1:22" x14ac:dyDescent="0.3">
      <c r="A142" s="18" t="s">
        <v>560</v>
      </c>
      <c r="B142" s="19">
        <v>46089</v>
      </c>
      <c r="C142" s="20" t="s">
        <v>19</v>
      </c>
      <c r="D142" s="20" t="s">
        <v>20</v>
      </c>
      <c r="E142" s="20" t="s">
        <v>21</v>
      </c>
      <c r="F142" s="20" t="s">
        <v>22</v>
      </c>
      <c r="G142" s="20" t="s">
        <v>23</v>
      </c>
      <c r="H142" s="20" t="s">
        <v>48</v>
      </c>
      <c r="I142" s="20" t="s">
        <v>56</v>
      </c>
      <c r="J142" s="21">
        <v>6</v>
      </c>
      <c r="K142" s="22">
        <v>103.65</v>
      </c>
      <c r="L142" s="21">
        <v>5</v>
      </c>
      <c r="M142" s="22">
        <f t="shared" si="2"/>
        <v>31.095000000000006</v>
      </c>
      <c r="N142" s="22">
        <v>590.80999999999995</v>
      </c>
      <c r="O142" s="22">
        <v>432</v>
      </c>
      <c r="P142" s="22">
        <v>158.81</v>
      </c>
      <c r="Q142" s="62" t="str">
        <f>IF(retail_store_performance_dashbo!$P142&gt;0,"Profit",IF(retail_store_performance_dashbo!$P142&lt;0,"Loss","Break Even"))</f>
        <v>Profit</v>
      </c>
      <c r="R142" s="62" t="str" cm="1">
        <f t="array" ref="R142">_xlfn.IFS(L142=0,"No Discount",L142&lt;=5,"Low Discount",L142&lt;=10,"Medium Discount",L142&lt;=20,"High Discount")</f>
        <v>Low Discount</v>
      </c>
      <c r="S142" s="20" t="s">
        <v>43</v>
      </c>
      <c r="T142" s="20" t="s">
        <v>36</v>
      </c>
      <c r="U142" s="23">
        <v>4.5</v>
      </c>
      <c r="V142" s="75" t="str" cm="1">
        <f t="array" ref="V142">_xlfn.IFS(U142=0,"Not Rated",U142&gt;=4.5,"High Rating",U142&gt;=3,"Medium Rating",U142&lt;3,"Low Rating")</f>
        <v>High Rating</v>
      </c>
    </row>
    <row r="143" spans="1:22" x14ac:dyDescent="0.3">
      <c r="A143" s="24" t="s">
        <v>142</v>
      </c>
      <c r="B143" s="25">
        <v>46090</v>
      </c>
      <c r="C143" s="26" t="s">
        <v>97</v>
      </c>
      <c r="D143" s="26" t="s">
        <v>98</v>
      </c>
      <c r="E143" s="26" t="s">
        <v>99</v>
      </c>
      <c r="F143" s="26" t="s">
        <v>54</v>
      </c>
      <c r="G143" s="26" t="s">
        <v>100</v>
      </c>
      <c r="H143" s="26" t="s">
        <v>24</v>
      </c>
      <c r="I143" s="26" t="s">
        <v>75</v>
      </c>
      <c r="J143" s="27">
        <v>6</v>
      </c>
      <c r="K143" s="28">
        <v>439.57</v>
      </c>
      <c r="L143" s="27">
        <v>10</v>
      </c>
      <c r="M143" s="22">
        <f t="shared" si="2"/>
        <v>263.74200000000002</v>
      </c>
      <c r="N143" s="28">
        <v>0</v>
      </c>
      <c r="O143" s="28">
        <v>1740</v>
      </c>
      <c r="P143" s="28">
        <v>0</v>
      </c>
      <c r="Q143" s="72" t="str">
        <f>IF(retail_store_performance_dashbo!$P143&gt;0,"Profit",IF(retail_store_performance_dashbo!$P143&lt;0,"Loss","Break Even"))</f>
        <v>Break Even</v>
      </c>
      <c r="R143" s="62" t="str" cm="1">
        <f t="array" ref="R143">_xlfn.IFS(L143=0,"No Discount",L143&lt;=5,"Low Discount",L143&lt;=10,"Medium Discount",L143&lt;=20,"High Discount")</f>
        <v>Medium Discount</v>
      </c>
      <c r="S143" s="26" t="s">
        <v>26</v>
      </c>
      <c r="T143" s="26" t="s">
        <v>83</v>
      </c>
      <c r="U143" s="29">
        <v>0</v>
      </c>
      <c r="V143" s="75" t="str" cm="1">
        <f t="array" ref="V143">_xlfn.IFS(U143=0,"Not Rated",U143&gt;=4.5,"High Rating",U143&gt;=3,"Medium Rating",U143&lt;3,"Low Rating")</f>
        <v>Not Rated</v>
      </c>
    </row>
    <row r="144" spans="1:22" x14ac:dyDescent="0.3">
      <c r="A144" s="18" t="s">
        <v>528</v>
      </c>
      <c r="B144" s="19">
        <v>46090</v>
      </c>
      <c r="C144" s="20" t="s">
        <v>51</v>
      </c>
      <c r="D144" s="20" t="s">
        <v>52</v>
      </c>
      <c r="E144" s="20" t="s">
        <v>53</v>
      </c>
      <c r="F144" s="20" t="s">
        <v>54</v>
      </c>
      <c r="G144" s="20" t="s">
        <v>55</v>
      </c>
      <c r="H144" s="20" t="s">
        <v>48</v>
      </c>
      <c r="I144" s="20" t="s">
        <v>109</v>
      </c>
      <c r="J144" s="21">
        <v>1</v>
      </c>
      <c r="K144" s="22">
        <v>657.59</v>
      </c>
      <c r="L144" s="21">
        <v>10</v>
      </c>
      <c r="M144" s="22">
        <f t="shared" si="2"/>
        <v>65.759</v>
      </c>
      <c r="N144" s="22">
        <v>591.83000000000004</v>
      </c>
      <c r="O144" s="22">
        <v>510</v>
      </c>
      <c r="P144" s="22">
        <v>81.83</v>
      </c>
      <c r="Q144" s="62" t="str">
        <f>IF(retail_store_performance_dashbo!$P144&gt;0,"Profit",IF(retail_store_performance_dashbo!$P144&lt;0,"Loss","Break Even"))</f>
        <v>Profit</v>
      </c>
      <c r="R144" s="62" t="str" cm="1">
        <f t="array" ref="R144">_xlfn.IFS(L144=0,"No Discount",L144&lt;=5,"Low Discount",L144&lt;=10,"Medium Discount",L144&lt;=20,"High Discount")</f>
        <v>Medium Discount</v>
      </c>
      <c r="S144" s="20" t="s">
        <v>70</v>
      </c>
      <c r="T144" s="20" t="s">
        <v>36</v>
      </c>
      <c r="U144" s="23">
        <v>4.8</v>
      </c>
      <c r="V144" s="75" t="str" cm="1">
        <f t="array" ref="V144">_xlfn.IFS(U144=0,"Not Rated",U144&gt;=4.5,"High Rating",U144&gt;=3,"Medium Rating",U144&lt;3,"Low Rating")</f>
        <v>High Rating</v>
      </c>
    </row>
    <row r="145" spans="1:22" x14ac:dyDescent="0.3">
      <c r="A145" s="24" t="s">
        <v>540</v>
      </c>
      <c r="B145" s="25">
        <v>46090</v>
      </c>
      <c r="C145" s="26" t="s">
        <v>38</v>
      </c>
      <c r="D145" s="26" t="s">
        <v>39</v>
      </c>
      <c r="E145" s="26" t="s">
        <v>39</v>
      </c>
      <c r="F145" s="26" t="s">
        <v>32</v>
      </c>
      <c r="G145" s="26" t="s">
        <v>40</v>
      </c>
      <c r="H145" s="26" t="s">
        <v>58</v>
      </c>
      <c r="I145" s="26" t="s">
        <v>72</v>
      </c>
      <c r="J145" s="27">
        <v>3</v>
      </c>
      <c r="K145" s="28">
        <v>3731.8</v>
      </c>
      <c r="L145" s="27">
        <v>5</v>
      </c>
      <c r="M145" s="22">
        <f t="shared" si="2"/>
        <v>559.7700000000001</v>
      </c>
      <c r="N145" s="28">
        <v>10635.63</v>
      </c>
      <c r="O145" s="28">
        <v>8100</v>
      </c>
      <c r="P145" s="28">
        <v>2535.63</v>
      </c>
      <c r="Q145" s="72" t="str">
        <f>IF(retail_store_performance_dashbo!$P145&gt;0,"Profit",IF(retail_store_performance_dashbo!$P145&lt;0,"Loss","Break Even"))</f>
        <v>Profit</v>
      </c>
      <c r="R145" s="62" t="str" cm="1">
        <f t="array" ref="R145">_xlfn.IFS(L145=0,"No Discount",L145&lt;=5,"Low Discount",L145&lt;=10,"Medium Discount",L145&lt;=20,"High Discount")</f>
        <v>Low Discount</v>
      </c>
      <c r="S145" s="26" t="s">
        <v>43</v>
      </c>
      <c r="T145" s="26" t="s">
        <v>36</v>
      </c>
      <c r="U145" s="29">
        <v>5</v>
      </c>
      <c r="V145" s="75" t="str" cm="1">
        <f t="array" ref="V145">_xlfn.IFS(U145=0,"Not Rated",U145&gt;=4.5,"High Rating",U145&gt;=3,"Medium Rating",U145&lt;3,"Low Rating")</f>
        <v>High Rating</v>
      </c>
    </row>
    <row r="146" spans="1:22" x14ac:dyDescent="0.3">
      <c r="A146" s="18" t="s">
        <v>150</v>
      </c>
      <c r="B146" s="19">
        <v>46091</v>
      </c>
      <c r="C146" s="20" t="s">
        <v>77</v>
      </c>
      <c r="D146" s="20" t="s">
        <v>78</v>
      </c>
      <c r="E146" s="20" t="s">
        <v>79</v>
      </c>
      <c r="F146" s="20" t="s">
        <v>80</v>
      </c>
      <c r="G146" s="20" t="s">
        <v>81</v>
      </c>
      <c r="H146" s="20" t="s">
        <v>45</v>
      </c>
      <c r="I146" s="20" t="s">
        <v>88</v>
      </c>
      <c r="J146" s="21">
        <v>3</v>
      </c>
      <c r="K146" s="22">
        <v>907.11</v>
      </c>
      <c r="L146" s="21">
        <v>15</v>
      </c>
      <c r="M146" s="22">
        <f t="shared" si="2"/>
        <v>408.19949999999994</v>
      </c>
      <c r="N146" s="22">
        <v>2313.13</v>
      </c>
      <c r="O146" s="22">
        <v>1500</v>
      </c>
      <c r="P146" s="22">
        <v>813.13</v>
      </c>
      <c r="Q146" s="62" t="str">
        <f>IF(retail_store_performance_dashbo!$P146&gt;0,"Profit",IF(retail_store_performance_dashbo!$P146&lt;0,"Loss","Break Even"))</f>
        <v>Profit</v>
      </c>
      <c r="R146" s="62" t="str" cm="1">
        <f t="array" ref="R146">_xlfn.IFS(L146=0,"No Discount",L146&lt;=5,"Low Discount",L146&lt;=10,"Medium Discount",L146&lt;=20,"High Discount")</f>
        <v>High Discount</v>
      </c>
      <c r="S146" s="20" t="s">
        <v>43</v>
      </c>
      <c r="T146" s="20" t="s">
        <v>36</v>
      </c>
      <c r="U146" s="23">
        <v>4.5999999999999996</v>
      </c>
      <c r="V146" s="75" t="str" cm="1">
        <f t="array" ref="V146">_xlfn.IFS(U146=0,"Not Rated",U146&gt;=4.5,"High Rating",U146&gt;=3,"Medium Rating",U146&lt;3,"Low Rating")</f>
        <v>High Rating</v>
      </c>
    </row>
    <row r="147" spans="1:22" x14ac:dyDescent="0.3">
      <c r="A147" s="24" t="s">
        <v>185</v>
      </c>
      <c r="B147" s="25">
        <v>46091</v>
      </c>
      <c r="C147" s="26" t="s">
        <v>19</v>
      </c>
      <c r="D147" s="26" t="s">
        <v>20</v>
      </c>
      <c r="E147" s="26" t="s">
        <v>21</v>
      </c>
      <c r="F147" s="26" t="s">
        <v>22</v>
      </c>
      <c r="G147" s="26" t="s">
        <v>23</v>
      </c>
      <c r="H147" s="26" t="s">
        <v>41</v>
      </c>
      <c r="I147" s="26" t="s">
        <v>135</v>
      </c>
      <c r="J147" s="27">
        <v>3</v>
      </c>
      <c r="K147" s="28">
        <v>1740.17</v>
      </c>
      <c r="L147" s="27">
        <v>0</v>
      </c>
      <c r="M147" s="22">
        <f t="shared" si="2"/>
        <v>0</v>
      </c>
      <c r="N147" s="28">
        <v>5220.51</v>
      </c>
      <c r="O147" s="28">
        <v>3300</v>
      </c>
      <c r="P147" s="28">
        <v>1920.51</v>
      </c>
      <c r="Q147" s="72" t="str">
        <f>IF(retail_store_performance_dashbo!$P147&gt;0,"Profit",IF(retail_store_performance_dashbo!$P147&lt;0,"Loss","Break Even"))</f>
        <v>Profit</v>
      </c>
      <c r="R147" s="62" t="str" cm="1">
        <f t="array" ref="R147">_xlfn.IFS(L147=0,"No Discount",L147&lt;=5,"Low Discount",L147&lt;=10,"Medium Discount",L147&lt;=20,"High Discount")</f>
        <v>No Discount</v>
      </c>
      <c r="S147" s="26" t="s">
        <v>26</v>
      </c>
      <c r="T147" s="26" t="s">
        <v>36</v>
      </c>
      <c r="U147" s="29">
        <v>4.7</v>
      </c>
      <c r="V147" s="75" t="str" cm="1">
        <f t="array" ref="V147">_xlfn.IFS(U147=0,"Not Rated",U147&gt;=4.5,"High Rating",U147&gt;=3,"Medium Rating",U147&lt;3,"Low Rating")</f>
        <v>High Rating</v>
      </c>
    </row>
    <row r="148" spans="1:22" x14ac:dyDescent="0.3">
      <c r="A148" s="18" t="s">
        <v>380</v>
      </c>
      <c r="B148" s="19">
        <v>46091</v>
      </c>
      <c r="C148" s="20" t="s">
        <v>146</v>
      </c>
      <c r="D148" s="20" t="s">
        <v>147</v>
      </c>
      <c r="E148" s="20" t="s">
        <v>148</v>
      </c>
      <c r="F148" s="20" t="s">
        <v>22</v>
      </c>
      <c r="G148" s="20" t="s">
        <v>149</v>
      </c>
      <c r="H148" s="20" t="s">
        <v>41</v>
      </c>
      <c r="I148" s="20" t="s">
        <v>42</v>
      </c>
      <c r="J148" s="21">
        <v>1</v>
      </c>
      <c r="K148" s="22">
        <v>4405.4799999999996</v>
      </c>
      <c r="L148" s="21">
        <v>0</v>
      </c>
      <c r="M148" s="22">
        <f t="shared" si="2"/>
        <v>0</v>
      </c>
      <c r="N148" s="22">
        <v>4405.4799999999996</v>
      </c>
      <c r="O148" s="22">
        <v>2900</v>
      </c>
      <c r="P148" s="22">
        <v>1505.48</v>
      </c>
      <c r="Q148" s="62" t="str">
        <f>IF(retail_store_performance_dashbo!$P148&gt;0,"Profit",IF(retail_store_performance_dashbo!$P148&lt;0,"Loss","Break Even"))</f>
        <v>Profit</v>
      </c>
      <c r="R148" s="62" t="str" cm="1">
        <f t="array" ref="R148">_xlfn.IFS(L148=0,"No Discount",L148&lt;=5,"Low Discount",L148&lt;=10,"Medium Discount",L148&lt;=20,"High Discount")</f>
        <v>No Discount</v>
      </c>
      <c r="S148" s="20" t="s">
        <v>70</v>
      </c>
      <c r="T148" s="20" t="s">
        <v>36</v>
      </c>
      <c r="U148" s="23">
        <v>3.8</v>
      </c>
      <c r="V148" s="75" t="str" cm="1">
        <f t="array" ref="V148">_xlfn.IFS(U148=0,"Not Rated",U148&gt;=4.5,"High Rating",U148&gt;=3,"Medium Rating",U148&lt;3,"Low Rating")</f>
        <v>Medium Rating</v>
      </c>
    </row>
    <row r="149" spans="1:22" x14ac:dyDescent="0.3">
      <c r="A149" s="24" t="s">
        <v>470</v>
      </c>
      <c r="B149" s="25">
        <v>46091</v>
      </c>
      <c r="C149" s="26" t="s">
        <v>61</v>
      </c>
      <c r="D149" s="26" t="s">
        <v>62</v>
      </c>
      <c r="E149" s="26" t="s">
        <v>63</v>
      </c>
      <c r="F149" s="26" t="s">
        <v>22</v>
      </c>
      <c r="G149" s="26" t="s">
        <v>64</v>
      </c>
      <c r="H149" s="26" t="s">
        <v>24</v>
      </c>
      <c r="I149" s="26" t="s">
        <v>25</v>
      </c>
      <c r="J149" s="27">
        <v>3</v>
      </c>
      <c r="K149" s="28">
        <v>344.31</v>
      </c>
      <c r="L149" s="27">
        <v>5</v>
      </c>
      <c r="M149" s="22">
        <f t="shared" si="2"/>
        <v>51.646500000000003</v>
      </c>
      <c r="N149" s="28">
        <v>981.28</v>
      </c>
      <c r="O149" s="28">
        <v>660</v>
      </c>
      <c r="P149" s="28">
        <v>321.27999999999997</v>
      </c>
      <c r="Q149" s="72" t="str">
        <f>IF(retail_store_performance_dashbo!$P149&gt;0,"Profit",IF(retail_store_performance_dashbo!$P149&lt;0,"Loss","Break Even"))</f>
        <v>Profit</v>
      </c>
      <c r="R149" s="62" t="str" cm="1">
        <f t="array" ref="R149">_xlfn.IFS(L149=0,"No Discount",L149&lt;=5,"Low Discount",L149&lt;=10,"Medium Discount",L149&lt;=20,"High Discount")</f>
        <v>Low Discount</v>
      </c>
      <c r="S149" s="26" t="s">
        <v>35</v>
      </c>
      <c r="T149" s="26" t="s">
        <v>36</v>
      </c>
      <c r="U149" s="29">
        <v>4.9000000000000004</v>
      </c>
      <c r="V149" s="75" t="str" cm="1">
        <f t="array" ref="V149">_xlfn.IFS(U149=0,"Not Rated",U149&gt;=4.5,"High Rating",U149&gt;=3,"Medium Rating",U149&lt;3,"Low Rating")</f>
        <v>High Rating</v>
      </c>
    </row>
    <row r="150" spans="1:22" x14ac:dyDescent="0.3">
      <c r="A150" s="18" t="s">
        <v>311</v>
      </c>
      <c r="B150" s="19">
        <v>46092</v>
      </c>
      <c r="C150" s="20" t="s">
        <v>146</v>
      </c>
      <c r="D150" s="20" t="s">
        <v>147</v>
      </c>
      <c r="E150" s="20" t="s">
        <v>148</v>
      </c>
      <c r="F150" s="20" t="s">
        <v>22</v>
      </c>
      <c r="G150" s="20" t="s">
        <v>149</v>
      </c>
      <c r="H150" s="20" t="s">
        <v>45</v>
      </c>
      <c r="I150" s="20" t="s">
        <v>101</v>
      </c>
      <c r="J150" s="21">
        <v>6</v>
      </c>
      <c r="K150" s="22">
        <v>1747.39</v>
      </c>
      <c r="L150" s="21">
        <v>15</v>
      </c>
      <c r="M150" s="22">
        <f t="shared" si="2"/>
        <v>1572.6510000000001</v>
      </c>
      <c r="N150" s="22">
        <v>8911.69</v>
      </c>
      <c r="O150" s="22">
        <v>6300</v>
      </c>
      <c r="P150" s="22">
        <v>2611.69</v>
      </c>
      <c r="Q150" s="62" t="str">
        <f>IF(retail_store_performance_dashbo!$P150&gt;0,"Profit",IF(retail_store_performance_dashbo!$P150&lt;0,"Loss","Break Even"))</f>
        <v>Profit</v>
      </c>
      <c r="R150" s="62" t="str" cm="1">
        <f t="array" ref="R150">_xlfn.IFS(L150=0,"No Discount",L150&lt;=5,"Low Discount",L150&lt;=10,"Medium Discount",L150&lt;=20,"High Discount")</f>
        <v>High Discount</v>
      </c>
      <c r="S150" s="20" t="s">
        <v>43</v>
      </c>
      <c r="T150" s="20" t="s">
        <v>36</v>
      </c>
      <c r="U150" s="23">
        <v>4.8</v>
      </c>
      <c r="V150" s="75" t="str" cm="1">
        <f t="array" ref="V150">_xlfn.IFS(U150=0,"Not Rated",U150&gt;=4.5,"High Rating",U150&gt;=3,"Medium Rating",U150&lt;3,"Low Rating")</f>
        <v>High Rating</v>
      </c>
    </row>
    <row r="151" spans="1:22" x14ac:dyDescent="0.3">
      <c r="A151" s="24" t="s">
        <v>487</v>
      </c>
      <c r="B151" s="25">
        <v>46092</v>
      </c>
      <c r="C151" s="26" t="s">
        <v>29</v>
      </c>
      <c r="D151" s="26" t="s">
        <v>30</v>
      </c>
      <c r="E151" s="26" t="s">
        <v>31</v>
      </c>
      <c r="F151" s="26" t="s">
        <v>32</v>
      </c>
      <c r="G151" s="26" t="s">
        <v>33</v>
      </c>
      <c r="H151" s="26" t="s">
        <v>58</v>
      </c>
      <c r="I151" s="26" t="s">
        <v>82</v>
      </c>
      <c r="J151" s="27">
        <v>5</v>
      </c>
      <c r="K151" s="28">
        <v>2464.9699999999998</v>
      </c>
      <c r="L151" s="27">
        <v>0</v>
      </c>
      <c r="M151" s="22">
        <f t="shared" si="2"/>
        <v>0</v>
      </c>
      <c r="N151" s="28">
        <v>12324.85</v>
      </c>
      <c r="O151" s="28">
        <v>7750</v>
      </c>
      <c r="P151" s="28">
        <v>4574.8500000000004</v>
      </c>
      <c r="Q151" s="72" t="str">
        <f>IF(retail_store_performance_dashbo!$P151&gt;0,"Profit",IF(retail_store_performance_dashbo!$P151&lt;0,"Loss","Break Even"))</f>
        <v>Profit</v>
      </c>
      <c r="R151" s="62" t="str" cm="1">
        <f t="array" ref="R151">_xlfn.IFS(L151=0,"No Discount",L151&lt;=5,"Low Discount",L151&lt;=10,"Medium Discount",L151&lt;=20,"High Discount")</f>
        <v>No Discount</v>
      </c>
      <c r="S151" s="26" t="s">
        <v>35</v>
      </c>
      <c r="T151" s="26" t="s">
        <v>36</v>
      </c>
      <c r="U151" s="29">
        <v>3.6</v>
      </c>
      <c r="V151" s="75" t="str" cm="1">
        <f t="array" ref="V151">_xlfn.IFS(U151=0,"Not Rated",U151&gt;=4.5,"High Rating",U151&gt;=3,"Medium Rating",U151&lt;3,"Low Rating")</f>
        <v>Medium Rating</v>
      </c>
    </row>
    <row r="152" spans="1:22" x14ac:dyDescent="0.3">
      <c r="A152" s="18" t="s">
        <v>499</v>
      </c>
      <c r="B152" s="19">
        <v>46092</v>
      </c>
      <c r="C152" s="20" t="s">
        <v>61</v>
      </c>
      <c r="D152" s="20" t="s">
        <v>62</v>
      </c>
      <c r="E152" s="20" t="s">
        <v>63</v>
      </c>
      <c r="F152" s="20" t="s">
        <v>22</v>
      </c>
      <c r="G152" s="20" t="s">
        <v>64</v>
      </c>
      <c r="H152" s="20" t="s">
        <v>58</v>
      </c>
      <c r="I152" s="20" t="s">
        <v>72</v>
      </c>
      <c r="J152" s="21">
        <v>6</v>
      </c>
      <c r="K152" s="22">
        <v>3846.53</v>
      </c>
      <c r="L152" s="21">
        <v>15</v>
      </c>
      <c r="M152" s="22">
        <f t="shared" si="2"/>
        <v>3461.877</v>
      </c>
      <c r="N152" s="22">
        <v>19617.3</v>
      </c>
      <c r="O152" s="22">
        <v>16200</v>
      </c>
      <c r="P152" s="22">
        <v>3417.3</v>
      </c>
      <c r="Q152" s="62" t="str">
        <f>IF(retail_store_performance_dashbo!$P152&gt;0,"Profit",IF(retail_store_performance_dashbo!$P152&lt;0,"Loss","Break Even"))</f>
        <v>Profit</v>
      </c>
      <c r="R152" s="62" t="str" cm="1">
        <f t="array" ref="R152">_xlfn.IFS(L152=0,"No Discount",L152&lt;=5,"Low Discount",L152&lt;=10,"Medium Discount",L152&lt;=20,"High Discount")</f>
        <v>High Discount</v>
      </c>
      <c r="S152" s="20" t="s">
        <v>67</v>
      </c>
      <c r="T152" s="20" t="s">
        <v>36</v>
      </c>
      <c r="U152" s="23">
        <v>3.1</v>
      </c>
      <c r="V152" s="75" t="str" cm="1">
        <f t="array" ref="V152">_xlfn.IFS(U152=0,"Not Rated",U152&gt;=4.5,"High Rating",U152&gt;=3,"Medium Rating",U152&lt;3,"Low Rating")</f>
        <v>Medium Rating</v>
      </c>
    </row>
    <row r="153" spans="1:22" x14ac:dyDescent="0.3">
      <c r="A153" s="24" t="s">
        <v>519</v>
      </c>
      <c r="B153" s="25">
        <v>46092</v>
      </c>
      <c r="C153" s="26" t="s">
        <v>146</v>
      </c>
      <c r="D153" s="26" t="s">
        <v>147</v>
      </c>
      <c r="E153" s="26" t="s">
        <v>148</v>
      </c>
      <c r="F153" s="26" t="s">
        <v>22</v>
      </c>
      <c r="G153" s="26" t="s">
        <v>149</v>
      </c>
      <c r="H153" s="26" t="s">
        <v>45</v>
      </c>
      <c r="I153" s="26" t="s">
        <v>101</v>
      </c>
      <c r="J153" s="27">
        <v>6</v>
      </c>
      <c r="K153" s="28">
        <v>1726.54</v>
      </c>
      <c r="L153" s="27">
        <v>10</v>
      </c>
      <c r="M153" s="22">
        <f t="shared" si="2"/>
        <v>1035.924</v>
      </c>
      <c r="N153" s="28">
        <v>9323.32</v>
      </c>
      <c r="O153" s="28">
        <v>6300</v>
      </c>
      <c r="P153" s="28">
        <v>3023.32</v>
      </c>
      <c r="Q153" s="72" t="str">
        <f>IF(retail_store_performance_dashbo!$P153&gt;0,"Profit",IF(retail_store_performance_dashbo!$P153&lt;0,"Loss","Break Even"))</f>
        <v>Profit</v>
      </c>
      <c r="R153" s="62" t="str" cm="1">
        <f t="array" ref="R153">_xlfn.IFS(L153=0,"No Discount",L153&lt;=5,"Low Discount",L153&lt;=10,"Medium Discount",L153&lt;=20,"High Discount")</f>
        <v>Medium Discount</v>
      </c>
      <c r="S153" s="26" t="s">
        <v>70</v>
      </c>
      <c r="T153" s="26" t="s">
        <v>36</v>
      </c>
      <c r="U153" s="29">
        <v>4.5999999999999996</v>
      </c>
      <c r="V153" s="75" t="str" cm="1">
        <f t="array" ref="V153">_xlfn.IFS(U153=0,"Not Rated",U153&gt;=4.5,"High Rating",U153&gt;=3,"Medium Rating",U153&lt;3,"Low Rating")</f>
        <v>High Rating</v>
      </c>
    </row>
    <row r="154" spans="1:22" x14ac:dyDescent="0.3">
      <c r="A154" s="18" t="s">
        <v>310</v>
      </c>
      <c r="B154" s="19">
        <v>46093</v>
      </c>
      <c r="C154" s="20" t="s">
        <v>77</v>
      </c>
      <c r="D154" s="20" t="s">
        <v>78</v>
      </c>
      <c r="E154" s="20" t="s">
        <v>79</v>
      </c>
      <c r="F154" s="20" t="s">
        <v>80</v>
      </c>
      <c r="G154" s="20" t="s">
        <v>81</v>
      </c>
      <c r="H154" s="20" t="s">
        <v>45</v>
      </c>
      <c r="I154" s="20" t="s">
        <v>46</v>
      </c>
      <c r="J154" s="21">
        <v>1</v>
      </c>
      <c r="K154" s="22">
        <v>3311.23</v>
      </c>
      <c r="L154" s="21">
        <v>20</v>
      </c>
      <c r="M154" s="22">
        <f t="shared" si="2"/>
        <v>662.24600000000009</v>
      </c>
      <c r="N154" s="22">
        <v>2648.98</v>
      </c>
      <c r="O154" s="22">
        <v>1900</v>
      </c>
      <c r="P154" s="22">
        <v>748.98</v>
      </c>
      <c r="Q154" s="62" t="str">
        <f>IF(retail_store_performance_dashbo!$P154&gt;0,"Profit",IF(retail_store_performance_dashbo!$P154&lt;0,"Loss","Break Even"))</f>
        <v>Profit</v>
      </c>
      <c r="R154" s="62" t="str" cm="1">
        <f t="array" ref="R154">_xlfn.IFS(L154=0,"No Discount",L154&lt;=5,"Low Discount",L154&lt;=10,"Medium Discount",L154&lt;=20,"High Discount")</f>
        <v>High Discount</v>
      </c>
      <c r="S154" s="20" t="s">
        <v>43</v>
      </c>
      <c r="T154" s="20" t="s">
        <v>36</v>
      </c>
      <c r="U154" s="23">
        <v>4.9000000000000004</v>
      </c>
      <c r="V154" s="75" t="str" cm="1">
        <f t="array" ref="V154">_xlfn.IFS(U154=0,"Not Rated",U154&gt;=4.5,"High Rating",U154&gt;=3,"Medium Rating",U154&lt;3,"Low Rating")</f>
        <v>High Rating</v>
      </c>
    </row>
    <row r="155" spans="1:22" x14ac:dyDescent="0.3">
      <c r="A155" s="24" t="s">
        <v>341</v>
      </c>
      <c r="B155" s="25">
        <v>46093</v>
      </c>
      <c r="C155" s="26" t="s">
        <v>29</v>
      </c>
      <c r="D155" s="26" t="s">
        <v>30</v>
      </c>
      <c r="E155" s="26" t="s">
        <v>31</v>
      </c>
      <c r="F155" s="26" t="s">
        <v>32</v>
      </c>
      <c r="G155" s="26" t="s">
        <v>33</v>
      </c>
      <c r="H155" s="26" t="s">
        <v>41</v>
      </c>
      <c r="I155" s="26" t="s">
        <v>42</v>
      </c>
      <c r="J155" s="27">
        <v>5</v>
      </c>
      <c r="K155" s="28">
        <v>4302.2299999999996</v>
      </c>
      <c r="L155" s="27">
        <v>20</v>
      </c>
      <c r="M155" s="22">
        <f t="shared" si="2"/>
        <v>4302.2299999999996</v>
      </c>
      <c r="N155" s="28">
        <v>-17208.919999999998</v>
      </c>
      <c r="O155" s="28">
        <v>14500</v>
      </c>
      <c r="P155" s="28">
        <v>-31708.92</v>
      </c>
      <c r="Q155" s="72" t="str">
        <f>IF(retail_store_performance_dashbo!$P155&gt;0,"Profit",IF(retail_store_performance_dashbo!$P155&lt;0,"Loss","Break Even"))</f>
        <v>Loss</v>
      </c>
      <c r="R155" s="62" t="str" cm="1">
        <f t="array" ref="R155">_xlfn.IFS(L155=0,"No Discount",L155&lt;=5,"Low Discount",L155&lt;=10,"Medium Discount",L155&lt;=20,"High Discount")</f>
        <v>High Discount</v>
      </c>
      <c r="S155" s="26" t="s">
        <v>43</v>
      </c>
      <c r="T155" s="26" t="s">
        <v>27</v>
      </c>
      <c r="U155" s="29">
        <v>3.7</v>
      </c>
      <c r="V155" s="75" t="str" cm="1">
        <f t="array" ref="V155">_xlfn.IFS(U155=0,"Not Rated",U155&gt;=4.5,"High Rating",U155&gt;=3,"Medium Rating",U155&lt;3,"Low Rating")</f>
        <v>Medium Rating</v>
      </c>
    </row>
    <row r="156" spans="1:22" x14ac:dyDescent="0.3">
      <c r="A156" s="18" t="s">
        <v>379</v>
      </c>
      <c r="B156" s="19">
        <v>46093</v>
      </c>
      <c r="C156" s="20" t="s">
        <v>77</v>
      </c>
      <c r="D156" s="20" t="s">
        <v>78</v>
      </c>
      <c r="E156" s="20" t="s">
        <v>79</v>
      </c>
      <c r="F156" s="20" t="s">
        <v>80</v>
      </c>
      <c r="G156" s="20" t="s">
        <v>81</v>
      </c>
      <c r="H156" s="20" t="s">
        <v>48</v>
      </c>
      <c r="I156" s="20" t="s">
        <v>49</v>
      </c>
      <c r="J156" s="21">
        <v>2</v>
      </c>
      <c r="K156" s="22">
        <v>279.82</v>
      </c>
      <c r="L156" s="21">
        <v>5</v>
      </c>
      <c r="M156" s="22">
        <f t="shared" si="2"/>
        <v>27.981999999999999</v>
      </c>
      <c r="N156" s="22">
        <v>531.66</v>
      </c>
      <c r="O156" s="22">
        <v>420</v>
      </c>
      <c r="P156" s="22">
        <v>111.66</v>
      </c>
      <c r="Q156" s="62" t="str">
        <f>IF(retail_store_performance_dashbo!$P156&gt;0,"Profit",IF(retail_store_performance_dashbo!$P156&lt;0,"Loss","Break Even"))</f>
        <v>Profit</v>
      </c>
      <c r="R156" s="62" t="str" cm="1">
        <f t="array" ref="R156">_xlfn.IFS(L156=0,"No Discount",L156&lt;=5,"Low Discount",L156&lt;=10,"Medium Discount",L156&lt;=20,"High Discount")</f>
        <v>Low Discount</v>
      </c>
      <c r="S156" s="20" t="s">
        <v>67</v>
      </c>
      <c r="T156" s="20" t="s">
        <v>36</v>
      </c>
      <c r="U156" s="23">
        <v>4.0999999999999996</v>
      </c>
      <c r="V156" s="75" t="str" cm="1">
        <f t="array" ref="V156">_xlfn.IFS(U156=0,"Not Rated",U156&gt;=4.5,"High Rating",U156&gt;=3,"Medium Rating",U156&lt;3,"Low Rating")</f>
        <v>Medium Rating</v>
      </c>
    </row>
    <row r="157" spans="1:22" x14ac:dyDescent="0.3">
      <c r="A157" s="24" t="s">
        <v>577</v>
      </c>
      <c r="B157" s="25">
        <v>46093</v>
      </c>
      <c r="C157" s="26" t="s">
        <v>38</v>
      </c>
      <c r="D157" s="26" t="s">
        <v>39</v>
      </c>
      <c r="E157" s="26" t="s">
        <v>39</v>
      </c>
      <c r="F157" s="26" t="s">
        <v>32</v>
      </c>
      <c r="G157" s="26" t="s">
        <v>40</v>
      </c>
      <c r="H157" s="26" t="s">
        <v>45</v>
      </c>
      <c r="I157" s="26" t="s">
        <v>46</v>
      </c>
      <c r="J157" s="27">
        <v>2</v>
      </c>
      <c r="K157" s="28">
        <v>3282.82</v>
      </c>
      <c r="L157" s="27">
        <v>10</v>
      </c>
      <c r="M157" s="22">
        <f t="shared" si="2"/>
        <v>656.56400000000008</v>
      </c>
      <c r="N157" s="28">
        <v>5909.08</v>
      </c>
      <c r="O157" s="28">
        <v>3800</v>
      </c>
      <c r="P157" s="28">
        <v>2109.08</v>
      </c>
      <c r="Q157" s="72" t="str">
        <f>IF(retail_store_performance_dashbo!$P157&gt;0,"Profit",IF(retail_store_performance_dashbo!$P157&lt;0,"Loss","Break Even"))</f>
        <v>Profit</v>
      </c>
      <c r="R157" s="62" t="str" cm="1">
        <f t="array" ref="R157">_xlfn.IFS(L157=0,"No Discount",L157&lt;=5,"Low Discount",L157&lt;=10,"Medium Discount",L157&lt;=20,"High Discount")</f>
        <v>Medium Discount</v>
      </c>
      <c r="S157" s="26" t="s">
        <v>70</v>
      </c>
      <c r="T157" s="26" t="s">
        <v>36</v>
      </c>
      <c r="U157" s="29">
        <v>4.5999999999999996</v>
      </c>
      <c r="V157" s="75" t="str" cm="1">
        <f t="array" ref="V157">_xlfn.IFS(U157=0,"Not Rated",U157&gt;=4.5,"High Rating",U157&gt;=3,"Medium Rating",U157&lt;3,"Low Rating")</f>
        <v>High Rating</v>
      </c>
    </row>
    <row r="158" spans="1:22" x14ac:dyDescent="0.3">
      <c r="A158" s="18" t="s">
        <v>390</v>
      </c>
      <c r="B158" s="19">
        <v>46094</v>
      </c>
      <c r="C158" s="20" t="s">
        <v>38</v>
      </c>
      <c r="D158" s="20" t="s">
        <v>39</v>
      </c>
      <c r="E158" s="20" t="s">
        <v>39</v>
      </c>
      <c r="F158" s="20" t="s">
        <v>32</v>
      </c>
      <c r="G158" s="20" t="s">
        <v>40</v>
      </c>
      <c r="H158" s="20" t="s">
        <v>48</v>
      </c>
      <c r="I158" s="20" t="s">
        <v>49</v>
      </c>
      <c r="J158" s="21">
        <v>3</v>
      </c>
      <c r="K158" s="22">
        <v>279.79000000000002</v>
      </c>
      <c r="L158" s="21">
        <v>5</v>
      </c>
      <c r="M158" s="22">
        <f t="shared" si="2"/>
        <v>41.968500000000006</v>
      </c>
      <c r="N158" s="22">
        <v>797.4</v>
      </c>
      <c r="O158" s="22">
        <v>630</v>
      </c>
      <c r="P158" s="22">
        <v>167.4</v>
      </c>
      <c r="Q158" s="62" t="str">
        <f>IF(retail_store_performance_dashbo!$P158&gt;0,"Profit",IF(retail_store_performance_dashbo!$P158&lt;0,"Loss","Break Even"))</f>
        <v>Profit</v>
      </c>
      <c r="R158" s="62" t="str" cm="1">
        <f t="array" ref="R158">_xlfn.IFS(L158=0,"No Discount",L158&lt;=5,"Low Discount",L158&lt;=10,"Medium Discount",L158&lt;=20,"High Discount")</f>
        <v>Low Discount</v>
      </c>
      <c r="S158" s="20" t="s">
        <v>70</v>
      </c>
      <c r="T158" s="20" t="s">
        <v>36</v>
      </c>
      <c r="U158" s="23">
        <v>3.4</v>
      </c>
      <c r="V158" s="75" t="str" cm="1">
        <f t="array" ref="V158">_xlfn.IFS(U158=0,"Not Rated",U158&gt;=4.5,"High Rating",U158&gt;=3,"Medium Rating",U158&lt;3,"Low Rating")</f>
        <v>Medium Rating</v>
      </c>
    </row>
    <row r="159" spans="1:22" x14ac:dyDescent="0.3">
      <c r="A159" s="24" t="s">
        <v>529</v>
      </c>
      <c r="B159" s="25">
        <v>46094</v>
      </c>
      <c r="C159" s="26" t="s">
        <v>97</v>
      </c>
      <c r="D159" s="26" t="s">
        <v>98</v>
      </c>
      <c r="E159" s="26" t="s">
        <v>99</v>
      </c>
      <c r="F159" s="26" t="s">
        <v>54</v>
      </c>
      <c r="G159" s="26" t="s">
        <v>100</v>
      </c>
      <c r="H159" s="26" t="s">
        <v>58</v>
      </c>
      <c r="I159" s="26" t="s">
        <v>59</v>
      </c>
      <c r="J159" s="27">
        <v>5</v>
      </c>
      <c r="K159" s="28">
        <v>4984.01</v>
      </c>
      <c r="L159" s="27">
        <v>20</v>
      </c>
      <c r="M159" s="22">
        <f t="shared" si="2"/>
        <v>4984.01</v>
      </c>
      <c r="N159" s="28">
        <v>19936.04</v>
      </c>
      <c r="O159" s="28">
        <v>18000</v>
      </c>
      <c r="P159" s="28">
        <v>1936.04</v>
      </c>
      <c r="Q159" s="72" t="str">
        <f>IF(retail_store_performance_dashbo!$P159&gt;0,"Profit",IF(retail_store_performance_dashbo!$P159&lt;0,"Loss","Break Even"))</f>
        <v>Profit</v>
      </c>
      <c r="R159" s="62" t="str" cm="1">
        <f t="array" ref="R159">_xlfn.IFS(L159=0,"No Discount",L159&lt;=5,"Low Discount",L159&lt;=10,"Medium Discount",L159&lt;=20,"High Discount")</f>
        <v>High Discount</v>
      </c>
      <c r="S159" s="26" t="s">
        <v>43</v>
      </c>
      <c r="T159" s="26" t="s">
        <v>36</v>
      </c>
      <c r="U159" s="29">
        <v>3.5</v>
      </c>
      <c r="V159" s="75" t="str" cm="1">
        <f t="array" ref="V159">_xlfn.IFS(U159=0,"Not Rated",U159&gt;=4.5,"High Rating",U159&gt;=3,"Medium Rating",U159&lt;3,"Low Rating")</f>
        <v>Medium Rating</v>
      </c>
    </row>
    <row r="160" spans="1:22" x14ac:dyDescent="0.3">
      <c r="A160" s="18" t="s">
        <v>103</v>
      </c>
      <c r="B160" s="19">
        <v>46096</v>
      </c>
      <c r="C160" s="20" t="s">
        <v>61</v>
      </c>
      <c r="D160" s="20" t="s">
        <v>62</v>
      </c>
      <c r="E160" s="20" t="s">
        <v>63</v>
      </c>
      <c r="F160" s="20" t="s">
        <v>22</v>
      </c>
      <c r="G160" s="20" t="s">
        <v>64</v>
      </c>
      <c r="H160" s="20" t="s">
        <v>45</v>
      </c>
      <c r="I160" s="20" t="s">
        <v>101</v>
      </c>
      <c r="J160" s="21">
        <v>3</v>
      </c>
      <c r="K160" s="22">
        <v>1803.48</v>
      </c>
      <c r="L160" s="21">
        <v>20</v>
      </c>
      <c r="M160" s="22">
        <f t="shared" si="2"/>
        <v>1082.0880000000002</v>
      </c>
      <c r="N160" s="22">
        <v>4328.3500000000004</v>
      </c>
      <c r="O160" s="22">
        <v>3150</v>
      </c>
      <c r="P160" s="22">
        <v>1178.3499999999999</v>
      </c>
      <c r="Q160" s="62" t="str">
        <f>IF(retail_store_performance_dashbo!$P160&gt;0,"Profit",IF(retail_store_performance_dashbo!$P160&lt;0,"Loss","Break Even"))</f>
        <v>Profit</v>
      </c>
      <c r="R160" s="62" t="str" cm="1">
        <f t="array" ref="R160">_xlfn.IFS(L160=0,"No Discount",L160&lt;=5,"Low Discount",L160&lt;=10,"Medium Discount",L160&lt;=20,"High Discount")</f>
        <v>High Discount</v>
      </c>
      <c r="S160" s="20" t="s">
        <v>70</v>
      </c>
      <c r="T160" s="20" t="s">
        <v>36</v>
      </c>
      <c r="U160" s="23">
        <v>4.5999999999999996</v>
      </c>
      <c r="V160" s="75" t="str" cm="1">
        <f t="array" ref="V160">_xlfn.IFS(U160=0,"Not Rated",U160&gt;=4.5,"High Rating",U160&gt;=3,"Medium Rating",U160&lt;3,"Low Rating")</f>
        <v>High Rating</v>
      </c>
    </row>
    <row r="161" spans="1:22" x14ac:dyDescent="0.3">
      <c r="A161" s="24" t="s">
        <v>188</v>
      </c>
      <c r="B161" s="25">
        <v>46096</v>
      </c>
      <c r="C161" s="26" t="s">
        <v>51</v>
      </c>
      <c r="D161" s="26" t="s">
        <v>52</v>
      </c>
      <c r="E161" s="26" t="s">
        <v>53</v>
      </c>
      <c r="F161" s="26" t="s">
        <v>54</v>
      </c>
      <c r="G161" s="26" t="s">
        <v>55</v>
      </c>
      <c r="H161" s="26" t="s">
        <v>58</v>
      </c>
      <c r="I161" s="26" t="s">
        <v>69</v>
      </c>
      <c r="J161" s="27">
        <v>3</v>
      </c>
      <c r="K161" s="28">
        <v>669.99</v>
      </c>
      <c r="L161" s="27">
        <v>5</v>
      </c>
      <c r="M161" s="22">
        <f t="shared" si="2"/>
        <v>100.49850000000001</v>
      </c>
      <c r="N161" s="28">
        <v>1909.47</v>
      </c>
      <c r="O161" s="28">
        <v>1200</v>
      </c>
      <c r="P161" s="28">
        <v>709.47</v>
      </c>
      <c r="Q161" s="72" t="str">
        <f>IF(retail_store_performance_dashbo!$P161&gt;0,"Profit",IF(retail_store_performance_dashbo!$P161&lt;0,"Loss","Break Even"))</f>
        <v>Profit</v>
      </c>
      <c r="R161" s="62" t="str" cm="1">
        <f t="array" ref="R161">_xlfn.IFS(L161=0,"No Discount",L161&lt;=5,"Low Discount",L161&lt;=10,"Medium Discount",L161&lt;=20,"High Discount")</f>
        <v>Low Discount</v>
      </c>
      <c r="S161" s="26" t="s">
        <v>26</v>
      </c>
      <c r="T161" s="26" t="s">
        <v>36</v>
      </c>
      <c r="U161" s="29">
        <v>4</v>
      </c>
      <c r="V161" s="75" t="str" cm="1">
        <f t="array" ref="V161">_xlfn.IFS(U161=0,"Not Rated",U161&gt;=4.5,"High Rating",U161&gt;=3,"Medium Rating",U161&lt;3,"Low Rating")</f>
        <v>Medium Rating</v>
      </c>
    </row>
    <row r="162" spans="1:22" x14ac:dyDescent="0.3">
      <c r="A162" s="18" t="s">
        <v>410</v>
      </c>
      <c r="B162" s="19">
        <v>46096</v>
      </c>
      <c r="C162" s="20" t="s">
        <v>97</v>
      </c>
      <c r="D162" s="20" t="s">
        <v>98</v>
      </c>
      <c r="E162" s="20" t="s">
        <v>99</v>
      </c>
      <c r="F162" s="20" t="s">
        <v>54</v>
      </c>
      <c r="G162" s="20" t="s">
        <v>100</v>
      </c>
      <c r="H162" s="20" t="s">
        <v>41</v>
      </c>
      <c r="I162" s="20" t="s">
        <v>42</v>
      </c>
      <c r="J162" s="21">
        <v>6</v>
      </c>
      <c r="K162" s="22">
        <v>4476.03</v>
      </c>
      <c r="L162" s="21">
        <v>0</v>
      </c>
      <c r="M162" s="22">
        <f t="shared" si="2"/>
        <v>0</v>
      </c>
      <c r="N162" s="22">
        <v>26856.18</v>
      </c>
      <c r="O162" s="22">
        <v>17400</v>
      </c>
      <c r="P162" s="22">
        <v>9456.18</v>
      </c>
      <c r="Q162" s="62" t="str">
        <f>IF(retail_store_performance_dashbo!$P162&gt;0,"Profit",IF(retail_store_performance_dashbo!$P162&lt;0,"Loss","Break Even"))</f>
        <v>Profit</v>
      </c>
      <c r="R162" s="62" t="str" cm="1">
        <f t="array" ref="R162">_xlfn.IFS(L162=0,"No Discount",L162&lt;=5,"Low Discount",L162&lt;=10,"Medium Discount",L162&lt;=20,"High Discount")</f>
        <v>No Discount</v>
      </c>
      <c r="S162" s="20" t="s">
        <v>43</v>
      </c>
      <c r="T162" s="20" t="s">
        <v>36</v>
      </c>
      <c r="U162" s="23">
        <v>4.8</v>
      </c>
      <c r="V162" s="75" t="str" cm="1">
        <f t="array" ref="V162">_xlfn.IFS(U162=0,"Not Rated",U162&gt;=4.5,"High Rating",U162&gt;=3,"Medium Rating",U162&lt;3,"Low Rating")</f>
        <v>High Rating</v>
      </c>
    </row>
    <row r="163" spans="1:22" x14ac:dyDescent="0.3">
      <c r="A163" s="24" t="s">
        <v>466</v>
      </c>
      <c r="B163" s="25">
        <v>46096</v>
      </c>
      <c r="C163" s="26" t="s">
        <v>97</v>
      </c>
      <c r="D163" s="26" t="s">
        <v>98</v>
      </c>
      <c r="E163" s="26" t="s">
        <v>99</v>
      </c>
      <c r="F163" s="26" t="s">
        <v>54</v>
      </c>
      <c r="G163" s="26" t="s">
        <v>100</v>
      </c>
      <c r="H163" s="26" t="s">
        <v>58</v>
      </c>
      <c r="I163" s="26" t="s">
        <v>69</v>
      </c>
      <c r="J163" s="27">
        <v>3</v>
      </c>
      <c r="K163" s="28">
        <v>720.46</v>
      </c>
      <c r="L163" s="27">
        <v>10</v>
      </c>
      <c r="M163" s="22">
        <f t="shared" si="2"/>
        <v>216.13800000000003</v>
      </c>
      <c r="N163" s="28">
        <v>1945.24</v>
      </c>
      <c r="O163" s="28">
        <v>1200</v>
      </c>
      <c r="P163" s="28">
        <v>745.24</v>
      </c>
      <c r="Q163" s="72" t="str">
        <f>IF(retail_store_performance_dashbo!$P163&gt;0,"Profit",IF(retail_store_performance_dashbo!$P163&lt;0,"Loss","Break Even"))</f>
        <v>Profit</v>
      </c>
      <c r="R163" s="62" t="str" cm="1">
        <f t="array" ref="R163">_xlfn.IFS(L163=0,"No Discount",L163&lt;=5,"Low Discount",L163&lt;=10,"Medium Discount",L163&lt;=20,"High Discount")</f>
        <v>Medium Discount</v>
      </c>
      <c r="S163" s="26" t="s">
        <v>35</v>
      </c>
      <c r="T163" s="26" t="s">
        <v>36</v>
      </c>
      <c r="U163" s="29">
        <v>4.5</v>
      </c>
      <c r="V163" s="75" t="str" cm="1">
        <f t="array" ref="V163">_xlfn.IFS(U163=0,"Not Rated",U163&gt;=4.5,"High Rating",U163&gt;=3,"Medium Rating",U163&lt;3,"Low Rating")</f>
        <v>High Rating</v>
      </c>
    </row>
    <row r="164" spans="1:22" x14ac:dyDescent="0.3">
      <c r="A164" s="18" t="s">
        <v>89</v>
      </c>
      <c r="B164" s="19">
        <v>46097</v>
      </c>
      <c r="C164" s="20" t="s">
        <v>38</v>
      </c>
      <c r="D164" s="20" t="s">
        <v>39</v>
      </c>
      <c r="E164" s="20" t="s">
        <v>39</v>
      </c>
      <c r="F164" s="20" t="s">
        <v>32</v>
      </c>
      <c r="G164" s="20" t="s">
        <v>40</v>
      </c>
      <c r="H164" s="20" t="s">
        <v>58</v>
      </c>
      <c r="I164" s="20" t="s">
        <v>59</v>
      </c>
      <c r="J164" s="21">
        <v>6</v>
      </c>
      <c r="K164" s="22">
        <v>5023.26</v>
      </c>
      <c r="L164" s="21">
        <v>5</v>
      </c>
      <c r="M164" s="22">
        <f t="shared" si="2"/>
        <v>1506.9780000000001</v>
      </c>
      <c r="N164" s="22">
        <v>28632.58</v>
      </c>
      <c r="O164" s="22">
        <v>21600</v>
      </c>
      <c r="P164" s="22">
        <v>7032.58</v>
      </c>
      <c r="Q164" s="62" t="str">
        <f>IF(retail_store_performance_dashbo!$P164&gt;0,"Profit",IF(retail_store_performance_dashbo!$P164&lt;0,"Loss","Break Even"))</f>
        <v>Profit</v>
      </c>
      <c r="R164" s="62" t="str" cm="1">
        <f t="array" ref="R164">_xlfn.IFS(L164=0,"No Discount",L164&lt;=5,"Low Discount",L164&lt;=10,"Medium Discount",L164&lt;=20,"High Discount")</f>
        <v>Low Discount</v>
      </c>
      <c r="S164" s="20" t="s">
        <v>70</v>
      </c>
      <c r="T164" s="20" t="s">
        <v>36</v>
      </c>
      <c r="U164" s="23">
        <v>4.8</v>
      </c>
      <c r="V164" s="75" t="str" cm="1">
        <f t="array" ref="V164">_xlfn.IFS(U164=0,"Not Rated",U164&gt;=4.5,"High Rating",U164&gt;=3,"Medium Rating",U164&lt;3,"Low Rating")</f>
        <v>High Rating</v>
      </c>
    </row>
    <row r="165" spans="1:22" x14ac:dyDescent="0.3">
      <c r="A165" s="24" t="s">
        <v>570</v>
      </c>
      <c r="B165" s="25">
        <v>46097</v>
      </c>
      <c r="C165" s="26" t="s">
        <v>29</v>
      </c>
      <c r="D165" s="26" t="s">
        <v>30</v>
      </c>
      <c r="E165" s="26" t="s">
        <v>31</v>
      </c>
      <c r="F165" s="26" t="s">
        <v>32</v>
      </c>
      <c r="G165" s="26" t="s">
        <v>33</v>
      </c>
      <c r="H165" s="26" t="s">
        <v>24</v>
      </c>
      <c r="I165" s="26" t="s">
        <v>25</v>
      </c>
      <c r="J165" s="27">
        <v>6</v>
      </c>
      <c r="K165" s="28">
        <v>339.3</v>
      </c>
      <c r="L165" s="27">
        <v>10</v>
      </c>
      <c r="M165" s="22">
        <f t="shared" si="2"/>
        <v>203.58</v>
      </c>
      <c r="N165" s="28">
        <v>1832.22</v>
      </c>
      <c r="O165" s="28">
        <v>1320</v>
      </c>
      <c r="P165" s="28">
        <v>512.22</v>
      </c>
      <c r="Q165" s="72" t="str">
        <f>IF(retail_store_performance_dashbo!$P165&gt;0,"Profit",IF(retail_store_performance_dashbo!$P165&lt;0,"Loss","Break Even"))</f>
        <v>Profit</v>
      </c>
      <c r="R165" s="62" t="str" cm="1">
        <f t="array" ref="R165">_xlfn.IFS(L165=0,"No Discount",L165&lt;=5,"Low Discount",L165&lt;=10,"Medium Discount",L165&lt;=20,"High Discount")</f>
        <v>Medium Discount</v>
      </c>
      <c r="S165" s="26" t="s">
        <v>70</v>
      </c>
      <c r="T165" s="26" t="s">
        <v>36</v>
      </c>
      <c r="U165" s="29">
        <v>4.7</v>
      </c>
      <c r="V165" s="75" t="str" cm="1">
        <f t="array" ref="V165">_xlfn.IFS(U165=0,"Not Rated",U165&gt;=4.5,"High Rating",U165&gt;=3,"Medium Rating",U165&lt;3,"Low Rating")</f>
        <v>High Rating</v>
      </c>
    </row>
    <row r="166" spans="1:22" x14ac:dyDescent="0.3">
      <c r="A166" s="18" t="s">
        <v>117</v>
      </c>
      <c r="B166" s="19">
        <v>46099</v>
      </c>
      <c r="C166" s="20" t="s">
        <v>29</v>
      </c>
      <c r="D166" s="20" t="s">
        <v>30</v>
      </c>
      <c r="E166" s="20" t="s">
        <v>31</v>
      </c>
      <c r="F166" s="20" t="s">
        <v>32</v>
      </c>
      <c r="G166" s="20" t="s">
        <v>33</v>
      </c>
      <c r="H166" s="20" t="s">
        <v>48</v>
      </c>
      <c r="I166" s="20" t="s">
        <v>49</v>
      </c>
      <c r="J166" s="21">
        <v>5</v>
      </c>
      <c r="K166" s="22">
        <v>291.27999999999997</v>
      </c>
      <c r="L166" s="21">
        <v>10</v>
      </c>
      <c r="M166" s="22">
        <f t="shared" si="2"/>
        <v>145.63999999999999</v>
      </c>
      <c r="N166" s="22">
        <v>1310.76</v>
      </c>
      <c r="O166" s="22">
        <v>1050</v>
      </c>
      <c r="P166" s="22">
        <v>260.76</v>
      </c>
      <c r="Q166" s="62" t="str">
        <f>IF(retail_store_performance_dashbo!$P166&gt;0,"Profit",IF(retail_store_performance_dashbo!$P166&lt;0,"Loss","Break Even"))</f>
        <v>Profit</v>
      </c>
      <c r="R166" s="62" t="str" cm="1">
        <f t="array" ref="R166">_xlfn.IFS(L166=0,"No Discount",L166&lt;=5,"Low Discount",L166&lt;=10,"Medium Discount",L166&lt;=20,"High Discount")</f>
        <v>Medium Discount</v>
      </c>
      <c r="S166" s="20" t="s">
        <v>67</v>
      </c>
      <c r="T166" s="20" t="s">
        <v>36</v>
      </c>
      <c r="U166" s="23">
        <v>3.1</v>
      </c>
      <c r="V166" s="75" t="str" cm="1">
        <f t="array" ref="V166">_xlfn.IFS(U166=0,"Not Rated",U166&gt;=4.5,"High Rating",U166&gt;=3,"Medium Rating",U166&lt;3,"Low Rating")</f>
        <v>Medium Rating</v>
      </c>
    </row>
    <row r="167" spans="1:22" x14ac:dyDescent="0.3">
      <c r="A167" s="24" t="s">
        <v>313</v>
      </c>
      <c r="B167" s="25">
        <v>46099</v>
      </c>
      <c r="C167" s="26" t="s">
        <v>61</v>
      </c>
      <c r="D167" s="26" t="s">
        <v>62</v>
      </c>
      <c r="E167" s="26" t="s">
        <v>63</v>
      </c>
      <c r="F167" s="26" t="s">
        <v>22</v>
      </c>
      <c r="G167" s="26" t="s">
        <v>64</v>
      </c>
      <c r="H167" s="26" t="s">
        <v>24</v>
      </c>
      <c r="I167" s="26" t="s">
        <v>66</v>
      </c>
      <c r="J167" s="27">
        <v>6</v>
      </c>
      <c r="K167" s="28">
        <v>544.17999999999995</v>
      </c>
      <c r="L167" s="27">
        <v>5</v>
      </c>
      <c r="M167" s="22">
        <f t="shared" si="2"/>
        <v>163.25399999999999</v>
      </c>
      <c r="N167" s="28">
        <v>3101.83</v>
      </c>
      <c r="O167" s="28">
        <v>2040</v>
      </c>
      <c r="P167" s="28">
        <v>1061.83</v>
      </c>
      <c r="Q167" s="72" t="str">
        <f>IF(retail_store_performance_dashbo!$P167&gt;0,"Profit",IF(retail_store_performance_dashbo!$P167&lt;0,"Loss","Break Even"))</f>
        <v>Profit</v>
      </c>
      <c r="R167" s="62" t="str" cm="1">
        <f t="array" ref="R167">_xlfn.IFS(L167=0,"No Discount",L167&lt;=5,"Low Discount",L167&lt;=10,"Medium Discount",L167&lt;=20,"High Discount")</f>
        <v>Low Discount</v>
      </c>
      <c r="S167" s="26" t="s">
        <v>67</v>
      </c>
      <c r="T167" s="26" t="s">
        <v>36</v>
      </c>
      <c r="U167" s="29">
        <v>4.7</v>
      </c>
      <c r="V167" s="75" t="str" cm="1">
        <f t="array" ref="V167">_xlfn.IFS(U167=0,"Not Rated",U167&gt;=4.5,"High Rating",U167&gt;=3,"Medium Rating",U167&lt;3,"Low Rating")</f>
        <v>High Rating</v>
      </c>
    </row>
    <row r="168" spans="1:22" x14ac:dyDescent="0.3">
      <c r="A168" s="18" t="s">
        <v>411</v>
      </c>
      <c r="B168" s="19">
        <v>46099</v>
      </c>
      <c r="C168" s="20" t="s">
        <v>19</v>
      </c>
      <c r="D168" s="20" t="s">
        <v>20</v>
      </c>
      <c r="E168" s="20" t="s">
        <v>21</v>
      </c>
      <c r="F168" s="20" t="s">
        <v>22</v>
      </c>
      <c r="G168" s="20" t="s">
        <v>23</v>
      </c>
      <c r="H168" s="20" t="s">
        <v>48</v>
      </c>
      <c r="I168" s="20" t="s">
        <v>109</v>
      </c>
      <c r="J168" s="21">
        <v>5</v>
      </c>
      <c r="K168" s="22">
        <v>661.29</v>
      </c>
      <c r="L168" s="21">
        <v>5</v>
      </c>
      <c r="M168" s="22">
        <f t="shared" si="2"/>
        <v>165.32249999999999</v>
      </c>
      <c r="N168" s="22">
        <v>3141.13</v>
      </c>
      <c r="O168" s="22">
        <v>2550</v>
      </c>
      <c r="P168" s="22">
        <v>591.13</v>
      </c>
      <c r="Q168" s="62" t="str">
        <f>IF(retail_store_performance_dashbo!$P168&gt;0,"Profit",IF(retail_store_performance_dashbo!$P168&lt;0,"Loss","Break Even"))</f>
        <v>Profit</v>
      </c>
      <c r="R168" s="62" t="str" cm="1">
        <f t="array" ref="R168">_xlfn.IFS(L168=0,"No Discount",L168&lt;=5,"Low Discount",L168&lt;=10,"Medium Discount",L168&lt;=20,"High Discount")</f>
        <v>Low Discount</v>
      </c>
      <c r="S168" s="20" t="s">
        <v>70</v>
      </c>
      <c r="T168" s="20" t="s">
        <v>36</v>
      </c>
      <c r="U168" s="23">
        <v>4.5</v>
      </c>
      <c r="V168" s="75" t="str" cm="1">
        <f t="array" ref="V168">_xlfn.IFS(U168=0,"Not Rated",U168&gt;=4.5,"High Rating",U168&gt;=3,"Medium Rating",U168&lt;3,"Low Rating")</f>
        <v>High Rating</v>
      </c>
    </row>
    <row r="169" spans="1:22" x14ac:dyDescent="0.3">
      <c r="A169" s="24" t="s">
        <v>445</v>
      </c>
      <c r="B169" s="25">
        <v>46099</v>
      </c>
      <c r="C169" s="26" t="s">
        <v>61</v>
      </c>
      <c r="D169" s="26" t="s">
        <v>62</v>
      </c>
      <c r="E169" s="26" t="s">
        <v>63</v>
      </c>
      <c r="F169" s="26" t="s">
        <v>22</v>
      </c>
      <c r="G169" s="26" t="s">
        <v>64</v>
      </c>
      <c r="H169" s="26" t="s">
        <v>58</v>
      </c>
      <c r="I169" s="26" t="s">
        <v>82</v>
      </c>
      <c r="J169" s="27">
        <v>1</v>
      </c>
      <c r="K169" s="28">
        <v>2360.48</v>
      </c>
      <c r="L169" s="27">
        <v>5</v>
      </c>
      <c r="M169" s="22">
        <f t="shared" si="2"/>
        <v>118.024</v>
      </c>
      <c r="N169" s="28">
        <v>2242.46</v>
      </c>
      <c r="O169" s="28">
        <v>1550</v>
      </c>
      <c r="P169" s="28">
        <v>692.46</v>
      </c>
      <c r="Q169" s="72" t="str">
        <f>IF(retail_store_performance_dashbo!$P169&gt;0,"Profit",IF(retail_store_performance_dashbo!$P169&lt;0,"Loss","Break Even"))</f>
        <v>Profit</v>
      </c>
      <c r="R169" s="62" t="str" cm="1">
        <f t="array" ref="R169">_xlfn.IFS(L169=0,"No Discount",L169&lt;=5,"Low Discount",L169&lt;=10,"Medium Discount",L169&lt;=20,"High Discount")</f>
        <v>Low Discount</v>
      </c>
      <c r="S169" s="26" t="s">
        <v>67</v>
      </c>
      <c r="T169" s="26" t="s">
        <v>36</v>
      </c>
      <c r="U169" s="29">
        <v>3.8</v>
      </c>
      <c r="V169" s="75" t="str" cm="1">
        <f t="array" ref="V169">_xlfn.IFS(U169=0,"Not Rated",U169&gt;=4.5,"High Rating",U169&gt;=3,"Medium Rating",U169&lt;3,"Low Rating")</f>
        <v>Medium Rating</v>
      </c>
    </row>
    <row r="170" spans="1:22" x14ac:dyDescent="0.3">
      <c r="A170" s="18" t="s">
        <v>458</v>
      </c>
      <c r="B170" s="19">
        <v>46099</v>
      </c>
      <c r="C170" s="20" t="s">
        <v>146</v>
      </c>
      <c r="D170" s="20" t="s">
        <v>147</v>
      </c>
      <c r="E170" s="20" t="s">
        <v>148</v>
      </c>
      <c r="F170" s="20" t="s">
        <v>22</v>
      </c>
      <c r="G170" s="20" t="s">
        <v>149</v>
      </c>
      <c r="H170" s="20" t="s">
        <v>24</v>
      </c>
      <c r="I170" s="20" t="s">
        <v>25</v>
      </c>
      <c r="J170" s="21">
        <v>1</v>
      </c>
      <c r="K170" s="22">
        <v>344.39</v>
      </c>
      <c r="L170" s="21">
        <v>15</v>
      </c>
      <c r="M170" s="22">
        <f t="shared" si="2"/>
        <v>51.658499999999997</v>
      </c>
      <c r="N170" s="22">
        <v>292.73</v>
      </c>
      <c r="O170" s="22">
        <v>220</v>
      </c>
      <c r="P170" s="22">
        <v>72.73</v>
      </c>
      <c r="Q170" s="62" t="str">
        <f>IF(retail_store_performance_dashbo!$P170&gt;0,"Profit",IF(retail_store_performance_dashbo!$P170&lt;0,"Loss","Break Even"))</f>
        <v>Profit</v>
      </c>
      <c r="R170" s="62" t="str" cm="1">
        <f t="array" ref="R170">_xlfn.IFS(L170=0,"No Discount",L170&lt;=5,"Low Discount",L170&lt;=10,"Medium Discount",L170&lt;=20,"High Discount")</f>
        <v>High Discount</v>
      </c>
      <c r="S170" s="20" t="s">
        <v>67</v>
      </c>
      <c r="T170" s="20" t="s">
        <v>36</v>
      </c>
      <c r="U170" s="23">
        <v>4.4000000000000004</v>
      </c>
      <c r="V170" s="75" t="str" cm="1">
        <f t="array" ref="V170">_xlfn.IFS(U170=0,"Not Rated",U170&gt;=4.5,"High Rating",U170&gt;=3,"Medium Rating",U170&lt;3,"Low Rating")</f>
        <v>Medium Rating</v>
      </c>
    </row>
    <row r="171" spans="1:22" x14ac:dyDescent="0.3">
      <c r="A171" s="24" t="s">
        <v>405</v>
      </c>
      <c r="B171" s="25">
        <v>46100</v>
      </c>
      <c r="C171" s="26" t="s">
        <v>146</v>
      </c>
      <c r="D171" s="26" t="s">
        <v>147</v>
      </c>
      <c r="E171" s="26" t="s">
        <v>148</v>
      </c>
      <c r="F171" s="26" t="s">
        <v>22</v>
      </c>
      <c r="G171" s="26" t="s">
        <v>149</v>
      </c>
      <c r="H171" s="26" t="s">
        <v>24</v>
      </c>
      <c r="I171" s="26" t="s">
        <v>66</v>
      </c>
      <c r="J171" s="27">
        <v>4</v>
      </c>
      <c r="K171" s="28">
        <v>576.89</v>
      </c>
      <c r="L171" s="27">
        <v>10</v>
      </c>
      <c r="M171" s="22">
        <f t="shared" si="2"/>
        <v>230.75599999999997</v>
      </c>
      <c r="N171" s="28">
        <v>2076.8000000000002</v>
      </c>
      <c r="O171" s="28">
        <v>1360</v>
      </c>
      <c r="P171" s="28">
        <v>716.8</v>
      </c>
      <c r="Q171" s="72" t="str">
        <f>IF(retail_store_performance_dashbo!$P171&gt;0,"Profit",IF(retail_store_performance_dashbo!$P171&lt;0,"Loss","Break Even"))</f>
        <v>Profit</v>
      </c>
      <c r="R171" s="62" t="str" cm="1">
        <f t="array" ref="R171">_xlfn.IFS(L171=0,"No Discount",L171&lt;=5,"Low Discount",L171&lt;=10,"Medium Discount",L171&lt;=20,"High Discount")</f>
        <v>Medium Discount</v>
      </c>
      <c r="S171" s="26" t="s">
        <v>70</v>
      </c>
      <c r="T171" s="26" t="s">
        <v>36</v>
      </c>
      <c r="U171" s="29">
        <v>4.9000000000000004</v>
      </c>
      <c r="V171" s="75" t="str" cm="1">
        <f t="array" ref="V171">_xlfn.IFS(U171=0,"Not Rated",U171&gt;=4.5,"High Rating",U171&gt;=3,"Medium Rating",U171&lt;3,"Low Rating")</f>
        <v>High Rating</v>
      </c>
    </row>
    <row r="172" spans="1:22" x14ac:dyDescent="0.3">
      <c r="A172" s="18" t="s">
        <v>431</v>
      </c>
      <c r="B172" s="19">
        <v>46100</v>
      </c>
      <c r="C172" s="20" t="s">
        <v>97</v>
      </c>
      <c r="D172" s="20" t="s">
        <v>98</v>
      </c>
      <c r="E172" s="20" t="s">
        <v>99</v>
      </c>
      <c r="F172" s="20" t="s">
        <v>54</v>
      </c>
      <c r="G172" s="20" t="s">
        <v>100</v>
      </c>
      <c r="H172" s="20" t="s">
        <v>41</v>
      </c>
      <c r="I172" s="20" t="s">
        <v>42</v>
      </c>
      <c r="J172" s="21">
        <v>3</v>
      </c>
      <c r="K172" s="22">
        <v>4386.1099999999997</v>
      </c>
      <c r="L172" s="21">
        <v>5</v>
      </c>
      <c r="M172" s="22">
        <f t="shared" si="2"/>
        <v>657.91649999999993</v>
      </c>
      <c r="N172" s="22">
        <v>12500.41</v>
      </c>
      <c r="O172" s="22">
        <v>8700</v>
      </c>
      <c r="P172" s="22">
        <v>3800.41</v>
      </c>
      <c r="Q172" s="62" t="str">
        <f>IF(retail_store_performance_dashbo!$P172&gt;0,"Profit",IF(retail_store_performance_dashbo!$P172&lt;0,"Loss","Break Even"))</f>
        <v>Profit</v>
      </c>
      <c r="R172" s="62" t="str" cm="1">
        <f t="array" ref="R172">_xlfn.IFS(L172=0,"No Discount",L172&lt;=5,"Low Discount",L172&lt;=10,"Medium Discount",L172&lt;=20,"High Discount")</f>
        <v>Low Discount</v>
      </c>
      <c r="S172" s="20" t="s">
        <v>43</v>
      </c>
      <c r="T172" s="20" t="s">
        <v>36</v>
      </c>
      <c r="U172" s="23">
        <v>3.9</v>
      </c>
      <c r="V172" s="75" t="str" cm="1">
        <f t="array" ref="V172">_xlfn.IFS(U172=0,"Not Rated",U172&gt;=4.5,"High Rating",U172&gt;=3,"Medium Rating",U172&lt;3,"Low Rating")</f>
        <v>Medium Rating</v>
      </c>
    </row>
    <row r="173" spans="1:22" x14ac:dyDescent="0.3">
      <c r="A173" s="24" t="s">
        <v>584</v>
      </c>
      <c r="B173" s="25">
        <v>46100</v>
      </c>
      <c r="C173" s="26" t="s">
        <v>97</v>
      </c>
      <c r="D173" s="26" t="s">
        <v>98</v>
      </c>
      <c r="E173" s="26" t="s">
        <v>99</v>
      </c>
      <c r="F173" s="26" t="s">
        <v>54</v>
      </c>
      <c r="G173" s="26" t="s">
        <v>100</v>
      </c>
      <c r="H173" s="26" t="s">
        <v>48</v>
      </c>
      <c r="I173" s="26" t="s">
        <v>49</v>
      </c>
      <c r="J173" s="27">
        <v>3</v>
      </c>
      <c r="K173" s="28">
        <v>270.07</v>
      </c>
      <c r="L173" s="27">
        <v>15</v>
      </c>
      <c r="M173" s="22">
        <f t="shared" si="2"/>
        <v>121.53150000000001</v>
      </c>
      <c r="N173" s="28">
        <v>688.68</v>
      </c>
      <c r="O173" s="28">
        <v>630</v>
      </c>
      <c r="P173" s="28">
        <v>58.68</v>
      </c>
      <c r="Q173" s="72" t="str">
        <f>IF(retail_store_performance_dashbo!$P173&gt;0,"Profit",IF(retail_store_performance_dashbo!$P173&lt;0,"Loss","Break Even"))</f>
        <v>Profit</v>
      </c>
      <c r="R173" s="62" t="str" cm="1">
        <f t="array" ref="R173">_xlfn.IFS(L173=0,"No Discount",L173&lt;=5,"Low Discount",L173&lt;=10,"Medium Discount",L173&lt;=20,"High Discount")</f>
        <v>High Discount</v>
      </c>
      <c r="S173" s="26" t="s">
        <v>43</v>
      </c>
      <c r="T173" s="26" t="s">
        <v>36</v>
      </c>
      <c r="U173" s="29">
        <v>3.5</v>
      </c>
      <c r="V173" s="75" t="str" cm="1">
        <f t="array" ref="V173">_xlfn.IFS(U173=0,"Not Rated",U173&gt;=4.5,"High Rating",U173&gt;=3,"Medium Rating",U173&lt;3,"Low Rating")</f>
        <v>Medium Rating</v>
      </c>
    </row>
    <row r="174" spans="1:22" x14ac:dyDescent="0.3">
      <c r="A174" s="18" t="s">
        <v>129</v>
      </c>
      <c r="B174" s="19">
        <v>46101</v>
      </c>
      <c r="C174" s="20" t="s">
        <v>51</v>
      </c>
      <c r="D174" s="20" t="s">
        <v>52</v>
      </c>
      <c r="E174" s="20" t="s">
        <v>53</v>
      </c>
      <c r="F174" s="20" t="s">
        <v>54</v>
      </c>
      <c r="G174" s="20" t="s">
        <v>55</v>
      </c>
      <c r="H174" s="20" t="s">
        <v>58</v>
      </c>
      <c r="I174" s="20" t="s">
        <v>72</v>
      </c>
      <c r="J174" s="21">
        <v>4</v>
      </c>
      <c r="K174" s="22">
        <v>3814.81</v>
      </c>
      <c r="L174" s="21">
        <v>5</v>
      </c>
      <c r="M174" s="22">
        <f t="shared" si="2"/>
        <v>762.96199999999999</v>
      </c>
      <c r="N174" s="22">
        <v>0</v>
      </c>
      <c r="O174" s="22">
        <v>10800</v>
      </c>
      <c r="P174" s="22">
        <v>0</v>
      </c>
      <c r="Q174" s="62" t="str">
        <f>IF(retail_store_performance_dashbo!$P174&gt;0,"Profit",IF(retail_store_performance_dashbo!$P174&lt;0,"Loss","Break Even"))</f>
        <v>Break Even</v>
      </c>
      <c r="R174" s="62" t="str" cm="1">
        <f t="array" ref="R174">_xlfn.IFS(L174=0,"No Discount",L174&lt;=5,"Low Discount",L174&lt;=10,"Medium Discount",L174&lt;=20,"High Discount")</f>
        <v>Low Discount</v>
      </c>
      <c r="S174" s="20" t="s">
        <v>67</v>
      </c>
      <c r="T174" s="20" t="s">
        <v>83</v>
      </c>
      <c r="U174" s="23">
        <v>0</v>
      </c>
      <c r="V174" s="75" t="str" cm="1">
        <f t="array" ref="V174">_xlfn.IFS(U174=0,"Not Rated",U174&gt;=4.5,"High Rating",U174&gt;=3,"Medium Rating",U174&lt;3,"Low Rating")</f>
        <v>Not Rated</v>
      </c>
    </row>
    <row r="175" spans="1:22" x14ac:dyDescent="0.3">
      <c r="A175" s="24" t="s">
        <v>50</v>
      </c>
      <c r="B175" s="25">
        <v>46102</v>
      </c>
      <c r="C175" s="26" t="s">
        <v>51</v>
      </c>
      <c r="D175" s="26" t="s">
        <v>52</v>
      </c>
      <c r="E175" s="26" t="s">
        <v>53</v>
      </c>
      <c r="F175" s="26" t="s">
        <v>54</v>
      </c>
      <c r="G175" s="26" t="s">
        <v>55</v>
      </c>
      <c r="H175" s="26" t="s">
        <v>48</v>
      </c>
      <c r="I175" s="26" t="s">
        <v>56</v>
      </c>
      <c r="J175" s="27">
        <v>3</v>
      </c>
      <c r="K175" s="28">
        <v>99.61</v>
      </c>
      <c r="L175" s="27">
        <v>0</v>
      </c>
      <c r="M175" s="22">
        <f t="shared" si="2"/>
        <v>0</v>
      </c>
      <c r="N175" s="28">
        <v>298.83</v>
      </c>
      <c r="O175" s="28">
        <v>216</v>
      </c>
      <c r="P175" s="28">
        <v>82.83</v>
      </c>
      <c r="Q175" s="72" t="str">
        <f>IF(retail_store_performance_dashbo!$P175&gt;0,"Profit",IF(retail_store_performance_dashbo!$P175&lt;0,"Loss","Break Even"))</f>
        <v>Profit</v>
      </c>
      <c r="R175" s="62" t="str" cm="1">
        <f t="array" ref="R175">_xlfn.IFS(L175=0,"No Discount",L175&lt;=5,"Low Discount",L175&lt;=10,"Medium Discount",L175&lt;=20,"High Discount")</f>
        <v>No Discount</v>
      </c>
      <c r="S175" s="26" t="s">
        <v>43</v>
      </c>
      <c r="T175" s="26" t="s">
        <v>36</v>
      </c>
      <c r="U175" s="29">
        <v>4.2</v>
      </c>
      <c r="V175" s="75" t="str" cm="1">
        <f t="array" ref="V175">_xlfn.IFS(U175=0,"Not Rated",U175&gt;=4.5,"High Rating",U175&gt;=3,"Medium Rating",U175&lt;3,"Low Rating")</f>
        <v>Medium Rating</v>
      </c>
    </row>
    <row r="176" spans="1:22" x14ac:dyDescent="0.3">
      <c r="A176" s="18" t="s">
        <v>297</v>
      </c>
      <c r="B176" s="19">
        <v>46102</v>
      </c>
      <c r="C176" s="20" t="s">
        <v>77</v>
      </c>
      <c r="D176" s="20" t="s">
        <v>78</v>
      </c>
      <c r="E176" s="20" t="s">
        <v>79</v>
      </c>
      <c r="F176" s="20" t="s">
        <v>80</v>
      </c>
      <c r="G176" s="20" t="s">
        <v>81</v>
      </c>
      <c r="H176" s="20" t="s">
        <v>58</v>
      </c>
      <c r="I176" s="20" t="s">
        <v>82</v>
      </c>
      <c r="J176" s="21">
        <v>4</v>
      </c>
      <c r="K176" s="22">
        <v>2376.2600000000002</v>
      </c>
      <c r="L176" s="21">
        <v>10</v>
      </c>
      <c r="M176" s="22">
        <f t="shared" si="2"/>
        <v>950.50400000000013</v>
      </c>
      <c r="N176" s="22">
        <v>8554.5400000000009</v>
      </c>
      <c r="O176" s="22">
        <v>6200</v>
      </c>
      <c r="P176" s="22">
        <v>2354.54</v>
      </c>
      <c r="Q176" s="62" t="str">
        <f>IF(retail_store_performance_dashbo!$P176&gt;0,"Profit",IF(retail_store_performance_dashbo!$P176&lt;0,"Loss","Break Even"))</f>
        <v>Profit</v>
      </c>
      <c r="R176" s="62" t="str" cm="1">
        <f t="array" ref="R176">_xlfn.IFS(L176=0,"No Discount",L176&lt;=5,"Low Discount",L176&lt;=10,"Medium Discount",L176&lt;=20,"High Discount")</f>
        <v>Medium Discount</v>
      </c>
      <c r="S176" s="20" t="s">
        <v>43</v>
      </c>
      <c r="T176" s="20" t="s">
        <v>36</v>
      </c>
      <c r="U176" s="23">
        <v>4.8</v>
      </c>
      <c r="V176" s="75" t="str" cm="1">
        <f t="array" ref="V176">_xlfn.IFS(U176=0,"Not Rated",U176&gt;=4.5,"High Rating",U176&gt;=3,"Medium Rating",U176&lt;3,"Low Rating")</f>
        <v>High Rating</v>
      </c>
    </row>
    <row r="177" spans="1:22" x14ac:dyDescent="0.3">
      <c r="A177" s="24" t="s">
        <v>326</v>
      </c>
      <c r="B177" s="25">
        <v>46102</v>
      </c>
      <c r="C177" s="26" t="s">
        <v>29</v>
      </c>
      <c r="D177" s="26" t="s">
        <v>30</v>
      </c>
      <c r="E177" s="26" t="s">
        <v>31</v>
      </c>
      <c r="F177" s="26" t="s">
        <v>32</v>
      </c>
      <c r="G177" s="26" t="s">
        <v>33</v>
      </c>
      <c r="H177" s="26" t="s">
        <v>41</v>
      </c>
      <c r="I177" s="26" t="s">
        <v>135</v>
      </c>
      <c r="J177" s="27">
        <v>3</v>
      </c>
      <c r="K177" s="28">
        <v>1728.35</v>
      </c>
      <c r="L177" s="27">
        <v>10</v>
      </c>
      <c r="M177" s="22">
        <f t="shared" si="2"/>
        <v>518.50499999999988</v>
      </c>
      <c r="N177" s="28">
        <v>-4666.54</v>
      </c>
      <c r="O177" s="28">
        <v>3300</v>
      </c>
      <c r="P177" s="28">
        <v>-7966.54</v>
      </c>
      <c r="Q177" s="72" t="str">
        <f>IF(retail_store_performance_dashbo!$P177&gt;0,"Profit",IF(retail_store_performance_dashbo!$P177&lt;0,"Loss","Break Even"))</f>
        <v>Loss</v>
      </c>
      <c r="R177" s="62" t="str" cm="1">
        <f t="array" ref="R177">_xlfn.IFS(L177=0,"No Discount",L177&lt;=5,"Low Discount",L177&lt;=10,"Medium Discount",L177&lt;=20,"High Discount")</f>
        <v>Medium Discount</v>
      </c>
      <c r="S177" s="26" t="s">
        <v>35</v>
      </c>
      <c r="T177" s="26" t="s">
        <v>27</v>
      </c>
      <c r="U177" s="29">
        <v>3.7</v>
      </c>
      <c r="V177" s="75" t="str" cm="1">
        <f t="array" ref="V177">_xlfn.IFS(U177=0,"Not Rated",U177&gt;=4.5,"High Rating",U177&gt;=3,"Medium Rating",U177&lt;3,"Low Rating")</f>
        <v>Medium Rating</v>
      </c>
    </row>
    <row r="178" spans="1:22" x14ac:dyDescent="0.3">
      <c r="A178" s="18" t="s">
        <v>583</v>
      </c>
      <c r="B178" s="19">
        <v>46102</v>
      </c>
      <c r="C178" s="20" t="s">
        <v>38</v>
      </c>
      <c r="D178" s="20" t="s">
        <v>39</v>
      </c>
      <c r="E178" s="20" t="s">
        <v>39</v>
      </c>
      <c r="F178" s="20" t="s">
        <v>32</v>
      </c>
      <c r="G178" s="20" t="s">
        <v>40</v>
      </c>
      <c r="H178" s="20" t="s">
        <v>58</v>
      </c>
      <c r="I178" s="20" t="s">
        <v>82</v>
      </c>
      <c r="J178" s="21">
        <v>4</v>
      </c>
      <c r="K178" s="22">
        <v>2360.2399999999998</v>
      </c>
      <c r="L178" s="21">
        <v>0</v>
      </c>
      <c r="M178" s="22">
        <f t="shared" si="2"/>
        <v>0</v>
      </c>
      <c r="N178" s="22">
        <v>9440.9599999999991</v>
      </c>
      <c r="O178" s="22">
        <v>6200</v>
      </c>
      <c r="P178" s="22">
        <v>3240.96</v>
      </c>
      <c r="Q178" s="62" t="str">
        <f>IF(retail_store_performance_dashbo!$P178&gt;0,"Profit",IF(retail_store_performance_dashbo!$P178&lt;0,"Loss","Break Even"))</f>
        <v>Profit</v>
      </c>
      <c r="R178" s="62" t="str" cm="1">
        <f t="array" ref="R178">_xlfn.IFS(L178=0,"No Discount",L178&lt;=5,"Low Discount",L178&lt;=10,"Medium Discount",L178&lt;=20,"High Discount")</f>
        <v>No Discount</v>
      </c>
      <c r="S178" s="20" t="s">
        <v>26</v>
      </c>
      <c r="T178" s="20" t="s">
        <v>36</v>
      </c>
      <c r="U178" s="23">
        <v>3.5</v>
      </c>
      <c r="V178" s="75" t="str" cm="1">
        <f t="array" ref="V178">_xlfn.IFS(U178=0,"Not Rated",U178&gt;=4.5,"High Rating",U178&gt;=3,"Medium Rating",U178&lt;3,"Low Rating")</f>
        <v>Medium Rating</v>
      </c>
    </row>
    <row r="179" spans="1:22" x14ac:dyDescent="0.3">
      <c r="A179" s="24" t="s">
        <v>407</v>
      </c>
      <c r="B179" s="25">
        <v>46103</v>
      </c>
      <c r="C179" s="26" t="s">
        <v>146</v>
      </c>
      <c r="D179" s="26" t="s">
        <v>147</v>
      </c>
      <c r="E179" s="26" t="s">
        <v>148</v>
      </c>
      <c r="F179" s="26" t="s">
        <v>22</v>
      </c>
      <c r="G179" s="26" t="s">
        <v>149</v>
      </c>
      <c r="H179" s="26" t="s">
        <v>48</v>
      </c>
      <c r="I179" s="26" t="s">
        <v>56</v>
      </c>
      <c r="J179" s="27">
        <v>1</v>
      </c>
      <c r="K179" s="28">
        <v>101.92</v>
      </c>
      <c r="L179" s="27">
        <v>0</v>
      </c>
      <c r="M179" s="22">
        <f t="shared" si="2"/>
        <v>0</v>
      </c>
      <c r="N179" s="28">
        <v>101.92</v>
      </c>
      <c r="O179" s="28">
        <v>72</v>
      </c>
      <c r="P179" s="28">
        <v>29.92</v>
      </c>
      <c r="Q179" s="72" t="str">
        <f>IF(retail_store_performance_dashbo!$P179&gt;0,"Profit",IF(retail_store_performance_dashbo!$P179&lt;0,"Loss","Break Even"))</f>
        <v>Profit</v>
      </c>
      <c r="R179" s="62" t="str" cm="1">
        <f t="array" ref="R179">_xlfn.IFS(L179=0,"No Discount",L179&lt;=5,"Low Discount",L179&lt;=10,"Medium Discount",L179&lt;=20,"High Discount")</f>
        <v>No Discount</v>
      </c>
      <c r="S179" s="26" t="s">
        <v>43</v>
      </c>
      <c r="T179" s="26" t="s">
        <v>36</v>
      </c>
      <c r="U179" s="29">
        <v>3.1</v>
      </c>
      <c r="V179" s="75" t="str" cm="1">
        <f t="array" ref="V179">_xlfn.IFS(U179=0,"Not Rated",U179&gt;=4.5,"High Rating",U179&gt;=3,"Medium Rating",U179&lt;3,"Low Rating")</f>
        <v>Medium Rating</v>
      </c>
    </row>
    <row r="180" spans="1:22" x14ac:dyDescent="0.3">
      <c r="A180" s="18" t="s">
        <v>517</v>
      </c>
      <c r="B180" s="19">
        <v>46103</v>
      </c>
      <c r="C180" s="20" t="s">
        <v>29</v>
      </c>
      <c r="D180" s="20" t="s">
        <v>30</v>
      </c>
      <c r="E180" s="20" t="s">
        <v>31</v>
      </c>
      <c r="F180" s="20" t="s">
        <v>32</v>
      </c>
      <c r="G180" s="20" t="s">
        <v>33</v>
      </c>
      <c r="H180" s="20" t="s">
        <v>48</v>
      </c>
      <c r="I180" s="20" t="s">
        <v>49</v>
      </c>
      <c r="J180" s="21">
        <v>1</v>
      </c>
      <c r="K180" s="22">
        <v>274.81</v>
      </c>
      <c r="L180" s="21">
        <v>5</v>
      </c>
      <c r="M180" s="22">
        <f t="shared" si="2"/>
        <v>13.740499999999999</v>
      </c>
      <c r="N180" s="22">
        <v>261.07</v>
      </c>
      <c r="O180" s="22">
        <v>210</v>
      </c>
      <c r="P180" s="22">
        <v>51.07</v>
      </c>
      <c r="Q180" s="62" t="str">
        <f>IF(retail_store_performance_dashbo!$P180&gt;0,"Profit",IF(retail_store_performance_dashbo!$P180&lt;0,"Loss","Break Even"))</f>
        <v>Profit</v>
      </c>
      <c r="R180" s="62" t="str" cm="1">
        <f t="array" ref="R180">_xlfn.IFS(L180=0,"No Discount",L180&lt;=5,"Low Discount",L180&lt;=10,"Medium Discount",L180&lt;=20,"High Discount")</f>
        <v>Low Discount</v>
      </c>
      <c r="S180" s="20" t="s">
        <v>70</v>
      </c>
      <c r="T180" s="20" t="s">
        <v>36</v>
      </c>
      <c r="U180" s="23">
        <v>3.6</v>
      </c>
      <c r="V180" s="75" t="str" cm="1">
        <f t="array" ref="V180">_xlfn.IFS(U180=0,"Not Rated",U180&gt;=4.5,"High Rating",U180&gt;=3,"Medium Rating",U180&lt;3,"Low Rating")</f>
        <v>Medium Rating</v>
      </c>
    </row>
    <row r="181" spans="1:22" x14ac:dyDescent="0.3">
      <c r="A181" s="24" t="s">
        <v>322</v>
      </c>
      <c r="B181" s="25">
        <v>46105</v>
      </c>
      <c r="C181" s="26" t="s">
        <v>38</v>
      </c>
      <c r="D181" s="26" t="s">
        <v>39</v>
      </c>
      <c r="E181" s="26" t="s">
        <v>39</v>
      </c>
      <c r="F181" s="26" t="s">
        <v>32</v>
      </c>
      <c r="G181" s="26" t="s">
        <v>40</v>
      </c>
      <c r="H181" s="26" t="s">
        <v>48</v>
      </c>
      <c r="I181" s="26" t="s">
        <v>113</v>
      </c>
      <c r="J181" s="27">
        <v>5</v>
      </c>
      <c r="K181" s="28">
        <v>144.25</v>
      </c>
      <c r="L181" s="27">
        <v>0</v>
      </c>
      <c r="M181" s="22">
        <f t="shared" si="2"/>
        <v>0</v>
      </c>
      <c r="N181" s="28">
        <v>721.25</v>
      </c>
      <c r="O181" s="28">
        <v>600</v>
      </c>
      <c r="P181" s="28">
        <v>121.25</v>
      </c>
      <c r="Q181" s="72" t="str">
        <f>IF(retail_store_performance_dashbo!$P181&gt;0,"Profit",IF(retail_store_performance_dashbo!$P181&lt;0,"Loss","Break Even"))</f>
        <v>Profit</v>
      </c>
      <c r="R181" s="62" t="str" cm="1">
        <f t="array" ref="R181">_xlfn.IFS(L181=0,"No Discount",L181&lt;=5,"Low Discount",L181&lt;=10,"Medium Discount",L181&lt;=20,"High Discount")</f>
        <v>No Discount</v>
      </c>
      <c r="S181" s="26" t="s">
        <v>67</v>
      </c>
      <c r="T181" s="26" t="s">
        <v>36</v>
      </c>
      <c r="U181" s="29">
        <v>4.5999999999999996</v>
      </c>
      <c r="V181" s="75" t="str" cm="1">
        <f t="array" ref="V181">_xlfn.IFS(U181=0,"Not Rated",U181&gt;=4.5,"High Rating",U181&gt;=3,"Medium Rating",U181&lt;3,"Low Rating")</f>
        <v>High Rating</v>
      </c>
    </row>
    <row r="182" spans="1:22" x14ac:dyDescent="0.3">
      <c r="A182" s="18" t="s">
        <v>136</v>
      </c>
      <c r="B182" s="19">
        <v>46106</v>
      </c>
      <c r="C182" s="20" t="s">
        <v>61</v>
      </c>
      <c r="D182" s="20" t="s">
        <v>62</v>
      </c>
      <c r="E182" s="20" t="s">
        <v>63</v>
      </c>
      <c r="F182" s="20" t="s">
        <v>22</v>
      </c>
      <c r="G182" s="20" t="s">
        <v>64</v>
      </c>
      <c r="H182" s="20" t="s">
        <v>41</v>
      </c>
      <c r="I182" s="20" t="s">
        <v>42</v>
      </c>
      <c r="J182" s="21">
        <v>6</v>
      </c>
      <c r="K182" s="22">
        <v>4307.91</v>
      </c>
      <c r="L182" s="21">
        <v>10</v>
      </c>
      <c r="M182" s="22">
        <f t="shared" si="2"/>
        <v>2584.7459999999996</v>
      </c>
      <c r="N182" s="22">
        <v>23262.71</v>
      </c>
      <c r="O182" s="22">
        <v>17400</v>
      </c>
      <c r="P182" s="22">
        <v>5862.71</v>
      </c>
      <c r="Q182" s="62" t="str">
        <f>IF(retail_store_performance_dashbo!$P182&gt;0,"Profit",IF(retail_store_performance_dashbo!$P182&lt;0,"Loss","Break Even"))</f>
        <v>Profit</v>
      </c>
      <c r="R182" s="62" t="str" cm="1">
        <f t="array" ref="R182">_xlfn.IFS(L182=0,"No Discount",L182&lt;=5,"Low Discount",L182&lt;=10,"Medium Discount",L182&lt;=20,"High Discount")</f>
        <v>Medium Discount</v>
      </c>
      <c r="S182" s="20" t="s">
        <v>70</v>
      </c>
      <c r="T182" s="20" t="s">
        <v>36</v>
      </c>
      <c r="U182" s="23">
        <v>4.3</v>
      </c>
      <c r="V182" s="75" t="str" cm="1">
        <f t="array" ref="V182">_xlfn.IFS(U182=0,"Not Rated",U182&gt;=4.5,"High Rating",U182&gt;=3,"Medium Rating",U182&lt;3,"Low Rating")</f>
        <v>Medium Rating</v>
      </c>
    </row>
    <row r="183" spans="1:22" x14ac:dyDescent="0.3">
      <c r="A183" s="24" t="s">
        <v>139</v>
      </c>
      <c r="B183" s="25">
        <v>46106</v>
      </c>
      <c r="C183" s="26" t="s">
        <v>29</v>
      </c>
      <c r="D183" s="26" t="s">
        <v>30</v>
      </c>
      <c r="E183" s="26" t="s">
        <v>31</v>
      </c>
      <c r="F183" s="26" t="s">
        <v>32</v>
      </c>
      <c r="G183" s="26" t="s">
        <v>33</v>
      </c>
      <c r="H183" s="26" t="s">
        <v>24</v>
      </c>
      <c r="I183" s="26" t="s">
        <v>25</v>
      </c>
      <c r="J183" s="27">
        <v>5</v>
      </c>
      <c r="K183" s="28">
        <v>344.11</v>
      </c>
      <c r="L183" s="27">
        <v>20</v>
      </c>
      <c r="M183" s="22">
        <f t="shared" si="2"/>
        <v>344.11</v>
      </c>
      <c r="N183" s="28">
        <v>1376.44</v>
      </c>
      <c r="O183" s="28">
        <v>1100</v>
      </c>
      <c r="P183" s="28">
        <v>276.44</v>
      </c>
      <c r="Q183" s="72" t="str">
        <f>IF(retail_store_performance_dashbo!$P183&gt;0,"Profit",IF(retail_store_performance_dashbo!$P183&lt;0,"Loss","Break Even"))</f>
        <v>Profit</v>
      </c>
      <c r="R183" s="62" t="str" cm="1">
        <f t="array" ref="R183">_xlfn.IFS(L183=0,"No Discount",L183&lt;=5,"Low Discount",L183&lt;=10,"Medium Discount",L183&lt;=20,"High Discount")</f>
        <v>High Discount</v>
      </c>
      <c r="S183" s="26" t="s">
        <v>43</v>
      </c>
      <c r="T183" s="26" t="s">
        <v>36</v>
      </c>
      <c r="U183" s="29">
        <v>3.4</v>
      </c>
      <c r="V183" s="75" t="str" cm="1">
        <f t="array" ref="V183">_xlfn.IFS(U183=0,"Not Rated",U183&gt;=4.5,"High Rating",U183&gt;=3,"Medium Rating",U183&lt;3,"Low Rating")</f>
        <v>Medium Rating</v>
      </c>
    </row>
    <row r="184" spans="1:22" x14ac:dyDescent="0.3">
      <c r="A184" s="18" t="s">
        <v>355</v>
      </c>
      <c r="B184" s="19">
        <v>46106</v>
      </c>
      <c r="C184" s="20" t="s">
        <v>146</v>
      </c>
      <c r="D184" s="20" t="s">
        <v>147</v>
      </c>
      <c r="E184" s="20" t="s">
        <v>148</v>
      </c>
      <c r="F184" s="20" t="s">
        <v>22</v>
      </c>
      <c r="G184" s="20" t="s">
        <v>149</v>
      </c>
      <c r="H184" s="20" t="s">
        <v>58</v>
      </c>
      <c r="I184" s="20" t="s">
        <v>69</v>
      </c>
      <c r="J184" s="21">
        <v>6</v>
      </c>
      <c r="K184" s="22">
        <v>701.01</v>
      </c>
      <c r="L184" s="21">
        <v>5</v>
      </c>
      <c r="M184" s="22">
        <f t="shared" si="2"/>
        <v>210.30299999999997</v>
      </c>
      <c r="N184" s="22">
        <v>3995.76</v>
      </c>
      <c r="O184" s="22">
        <v>2400</v>
      </c>
      <c r="P184" s="22">
        <v>1595.76</v>
      </c>
      <c r="Q184" s="62" t="str">
        <f>IF(retail_store_performance_dashbo!$P184&gt;0,"Profit",IF(retail_store_performance_dashbo!$P184&lt;0,"Loss","Break Even"))</f>
        <v>Profit</v>
      </c>
      <c r="R184" s="62" t="str" cm="1">
        <f t="array" ref="R184">_xlfn.IFS(L184=0,"No Discount",L184&lt;=5,"Low Discount",L184&lt;=10,"Medium Discount",L184&lt;=20,"High Discount")</f>
        <v>Low Discount</v>
      </c>
      <c r="S184" s="20" t="s">
        <v>70</v>
      </c>
      <c r="T184" s="20" t="s">
        <v>36</v>
      </c>
      <c r="U184" s="23">
        <v>4</v>
      </c>
      <c r="V184" s="75" t="str" cm="1">
        <f t="array" ref="V184">_xlfn.IFS(U184=0,"Not Rated",U184&gt;=4.5,"High Rating",U184&gt;=3,"Medium Rating",U184&lt;3,"Low Rating")</f>
        <v>Medium Rating</v>
      </c>
    </row>
    <row r="185" spans="1:22" x14ac:dyDescent="0.3">
      <c r="A185" s="24" t="s">
        <v>524</v>
      </c>
      <c r="B185" s="25">
        <v>46106</v>
      </c>
      <c r="C185" s="26" t="s">
        <v>77</v>
      </c>
      <c r="D185" s="26" t="s">
        <v>78</v>
      </c>
      <c r="E185" s="26" t="s">
        <v>79</v>
      </c>
      <c r="F185" s="26" t="s">
        <v>80</v>
      </c>
      <c r="G185" s="26" t="s">
        <v>81</v>
      </c>
      <c r="H185" s="26" t="s">
        <v>58</v>
      </c>
      <c r="I185" s="26" t="s">
        <v>82</v>
      </c>
      <c r="J185" s="27">
        <v>5</v>
      </c>
      <c r="K185" s="28">
        <v>2290.71</v>
      </c>
      <c r="L185" s="27">
        <v>10</v>
      </c>
      <c r="M185" s="22">
        <f t="shared" si="2"/>
        <v>1145.355</v>
      </c>
      <c r="N185" s="28">
        <v>10308.19</v>
      </c>
      <c r="O185" s="28">
        <v>7750</v>
      </c>
      <c r="P185" s="28">
        <v>2558.19</v>
      </c>
      <c r="Q185" s="72" t="str">
        <f>IF(retail_store_performance_dashbo!$P185&gt;0,"Profit",IF(retail_store_performance_dashbo!$P185&lt;0,"Loss","Break Even"))</f>
        <v>Profit</v>
      </c>
      <c r="R185" s="62" t="str" cm="1">
        <f t="array" ref="R185">_xlfn.IFS(L185=0,"No Discount",L185&lt;=5,"Low Discount",L185&lt;=10,"Medium Discount",L185&lt;=20,"High Discount")</f>
        <v>Medium Discount</v>
      </c>
      <c r="S185" s="26" t="s">
        <v>26</v>
      </c>
      <c r="T185" s="26" t="s">
        <v>36</v>
      </c>
      <c r="U185" s="29">
        <v>3.5</v>
      </c>
      <c r="V185" s="75" t="str" cm="1">
        <f t="array" ref="V185">_xlfn.IFS(U185=0,"Not Rated",U185&gt;=4.5,"High Rating",U185&gt;=3,"Medium Rating",U185&lt;3,"Low Rating")</f>
        <v>Medium Rating</v>
      </c>
    </row>
    <row r="186" spans="1:22" x14ac:dyDescent="0.3">
      <c r="A186" s="18" t="s">
        <v>367</v>
      </c>
      <c r="B186" s="19">
        <v>46107</v>
      </c>
      <c r="C186" s="20" t="s">
        <v>61</v>
      </c>
      <c r="D186" s="20" t="s">
        <v>62</v>
      </c>
      <c r="E186" s="20" t="s">
        <v>63</v>
      </c>
      <c r="F186" s="20" t="s">
        <v>22</v>
      </c>
      <c r="G186" s="20" t="s">
        <v>64</v>
      </c>
      <c r="H186" s="20" t="s">
        <v>45</v>
      </c>
      <c r="I186" s="20" t="s">
        <v>101</v>
      </c>
      <c r="J186" s="21">
        <v>6</v>
      </c>
      <c r="K186" s="22">
        <v>1740.52</v>
      </c>
      <c r="L186" s="21">
        <v>10</v>
      </c>
      <c r="M186" s="22">
        <f t="shared" si="2"/>
        <v>1044.3119999999999</v>
      </c>
      <c r="N186" s="22">
        <v>9398.81</v>
      </c>
      <c r="O186" s="22">
        <v>6300</v>
      </c>
      <c r="P186" s="22">
        <v>3098.81</v>
      </c>
      <c r="Q186" s="62" t="str">
        <f>IF(retail_store_performance_dashbo!$P186&gt;0,"Profit",IF(retail_store_performance_dashbo!$P186&lt;0,"Loss","Break Even"))</f>
        <v>Profit</v>
      </c>
      <c r="R186" s="62" t="str" cm="1">
        <f t="array" ref="R186">_xlfn.IFS(L186=0,"No Discount",L186&lt;=5,"Low Discount",L186&lt;=10,"Medium Discount",L186&lt;=20,"High Discount")</f>
        <v>Medium Discount</v>
      </c>
      <c r="S186" s="20" t="s">
        <v>35</v>
      </c>
      <c r="T186" s="20" t="s">
        <v>36</v>
      </c>
      <c r="U186" s="23">
        <v>4</v>
      </c>
      <c r="V186" s="75" t="str" cm="1">
        <f t="array" ref="V186">_xlfn.IFS(U186=0,"Not Rated",U186&gt;=4.5,"High Rating",U186&gt;=3,"Medium Rating",U186&lt;3,"Low Rating")</f>
        <v>Medium Rating</v>
      </c>
    </row>
    <row r="187" spans="1:22" x14ac:dyDescent="0.3">
      <c r="A187" s="24" t="s">
        <v>430</v>
      </c>
      <c r="B187" s="25">
        <v>46107</v>
      </c>
      <c r="C187" s="26" t="s">
        <v>38</v>
      </c>
      <c r="D187" s="26" t="s">
        <v>39</v>
      </c>
      <c r="E187" s="26" t="s">
        <v>39</v>
      </c>
      <c r="F187" s="26" t="s">
        <v>32</v>
      </c>
      <c r="G187" s="26" t="s">
        <v>40</v>
      </c>
      <c r="H187" s="26" t="s">
        <v>41</v>
      </c>
      <c r="I187" s="26" t="s">
        <v>92</v>
      </c>
      <c r="J187" s="27">
        <v>1</v>
      </c>
      <c r="K187" s="28">
        <v>53182.84</v>
      </c>
      <c r="L187" s="27">
        <v>10</v>
      </c>
      <c r="M187" s="22">
        <f t="shared" si="2"/>
        <v>5318.2839999999987</v>
      </c>
      <c r="N187" s="28">
        <v>47864.56</v>
      </c>
      <c r="O187" s="28">
        <v>42000</v>
      </c>
      <c r="P187" s="28">
        <v>5864.56</v>
      </c>
      <c r="Q187" s="72" t="str">
        <f>IF(retail_store_performance_dashbo!$P187&gt;0,"Profit",IF(retail_store_performance_dashbo!$P187&lt;0,"Loss","Break Even"))</f>
        <v>Profit</v>
      </c>
      <c r="R187" s="62" t="str" cm="1">
        <f t="array" ref="R187">_xlfn.IFS(L187=0,"No Discount",L187&lt;=5,"Low Discount",L187&lt;=10,"Medium Discount",L187&lt;=20,"High Discount")</f>
        <v>Medium Discount</v>
      </c>
      <c r="S187" s="26" t="s">
        <v>70</v>
      </c>
      <c r="T187" s="26" t="s">
        <v>36</v>
      </c>
      <c r="U187" s="29">
        <v>3.4</v>
      </c>
      <c r="V187" s="75" t="str" cm="1">
        <f t="array" ref="V187">_xlfn.IFS(U187=0,"Not Rated",U187&gt;=4.5,"High Rating",U187&gt;=3,"Medium Rating",U187&lt;3,"Low Rating")</f>
        <v>Medium Rating</v>
      </c>
    </row>
    <row r="188" spans="1:22" x14ac:dyDescent="0.3">
      <c r="A188" s="18" t="s">
        <v>151</v>
      </c>
      <c r="B188" s="19">
        <v>46109</v>
      </c>
      <c r="C188" s="20" t="s">
        <v>51</v>
      </c>
      <c r="D188" s="20" t="s">
        <v>52</v>
      </c>
      <c r="E188" s="20" t="s">
        <v>53</v>
      </c>
      <c r="F188" s="20" t="s">
        <v>54</v>
      </c>
      <c r="G188" s="20" t="s">
        <v>55</v>
      </c>
      <c r="H188" s="20" t="s">
        <v>41</v>
      </c>
      <c r="I188" s="20" t="s">
        <v>92</v>
      </c>
      <c r="J188" s="21">
        <v>2</v>
      </c>
      <c r="K188" s="22">
        <v>55749.49</v>
      </c>
      <c r="L188" s="21">
        <v>10</v>
      </c>
      <c r="M188" s="22">
        <f t="shared" si="2"/>
        <v>11149.898000000001</v>
      </c>
      <c r="N188" s="22">
        <v>100349.08</v>
      </c>
      <c r="O188" s="22">
        <v>84000</v>
      </c>
      <c r="P188" s="22">
        <v>16349.08</v>
      </c>
      <c r="Q188" s="62" t="str">
        <f>IF(retail_store_performance_dashbo!$P188&gt;0,"Profit",IF(retail_store_performance_dashbo!$P188&lt;0,"Loss","Break Even"))</f>
        <v>Profit</v>
      </c>
      <c r="R188" s="62" t="str" cm="1">
        <f t="array" ref="R188">_xlfn.IFS(L188=0,"No Discount",L188&lt;=5,"Low Discount",L188&lt;=10,"Medium Discount",L188&lt;=20,"High Discount")</f>
        <v>Medium Discount</v>
      </c>
      <c r="S188" s="20" t="s">
        <v>43</v>
      </c>
      <c r="T188" s="20" t="s">
        <v>36</v>
      </c>
      <c r="U188" s="23">
        <v>4.5999999999999996</v>
      </c>
      <c r="V188" s="75" t="str" cm="1">
        <f t="array" ref="V188">_xlfn.IFS(U188=0,"Not Rated",U188&gt;=4.5,"High Rating",U188&gt;=3,"Medium Rating",U188&lt;3,"Low Rating")</f>
        <v>High Rating</v>
      </c>
    </row>
    <row r="189" spans="1:22" x14ac:dyDescent="0.3">
      <c r="A189" s="24" t="s">
        <v>196</v>
      </c>
      <c r="B189" s="25">
        <v>46110</v>
      </c>
      <c r="C189" s="26" t="s">
        <v>97</v>
      </c>
      <c r="D189" s="26" t="s">
        <v>98</v>
      </c>
      <c r="E189" s="26" t="s">
        <v>99</v>
      </c>
      <c r="F189" s="26" t="s">
        <v>54</v>
      </c>
      <c r="G189" s="26" t="s">
        <v>100</v>
      </c>
      <c r="H189" s="26" t="s">
        <v>58</v>
      </c>
      <c r="I189" s="26" t="s">
        <v>82</v>
      </c>
      <c r="J189" s="27">
        <v>5</v>
      </c>
      <c r="K189" s="28">
        <v>2303.3000000000002</v>
      </c>
      <c r="L189" s="27">
        <v>20</v>
      </c>
      <c r="M189" s="22">
        <f t="shared" si="2"/>
        <v>2303.3000000000002</v>
      </c>
      <c r="N189" s="28">
        <v>9213.2000000000007</v>
      </c>
      <c r="O189" s="28">
        <v>7750</v>
      </c>
      <c r="P189" s="28">
        <v>1463.2</v>
      </c>
      <c r="Q189" s="72" t="str">
        <f>IF(retail_store_performance_dashbo!$P189&gt;0,"Profit",IF(retail_store_performance_dashbo!$P189&lt;0,"Loss","Break Even"))</f>
        <v>Profit</v>
      </c>
      <c r="R189" s="62" t="str" cm="1">
        <f t="array" ref="R189">_xlfn.IFS(L189=0,"No Discount",L189&lt;=5,"Low Discount",L189&lt;=10,"Medium Discount",L189&lt;=20,"High Discount")</f>
        <v>High Discount</v>
      </c>
      <c r="S189" s="26" t="s">
        <v>26</v>
      </c>
      <c r="T189" s="26" t="s">
        <v>36</v>
      </c>
      <c r="U189" s="29">
        <v>3.3</v>
      </c>
      <c r="V189" s="75" t="str" cm="1">
        <f t="array" ref="V189">_xlfn.IFS(U189=0,"Not Rated",U189&gt;=4.5,"High Rating",U189&gt;=3,"Medium Rating",U189&lt;3,"Low Rating")</f>
        <v>Medium Rating</v>
      </c>
    </row>
    <row r="190" spans="1:22" x14ac:dyDescent="0.3">
      <c r="A190" s="18" t="s">
        <v>214</v>
      </c>
      <c r="B190" s="19">
        <v>46110</v>
      </c>
      <c r="C190" s="20" t="s">
        <v>97</v>
      </c>
      <c r="D190" s="20" t="s">
        <v>98</v>
      </c>
      <c r="E190" s="20" t="s">
        <v>99</v>
      </c>
      <c r="F190" s="20" t="s">
        <v>54</v>
      </c>
      <c r="G190" s="20" t="s">
        <v>100</v>
      </c>
      <c r="H190" s="20" t="s">
        <v>41</v>
      </c>
      <c r="I190" s="20" t="s">
        <v>42</v>
      </c>
      <c r="J190" s="21">
        <v>1</v>
      </c>
      <c r="K190" s="22">
        <v>4430.8900000000003</v>
      </c>
      <c r="L190" s="21">
        <v>5</v>
      </c>
      <c r="M190" s="22">
        <f t="shared" si="2"/>
        <v>221.5445</v>
      </c>
      <c r="N190" s="22">
        <v>4209.3500000000004</v>
      </c>
      <c r="O190" s="22">
        <v>2900</v>
      </c>
      <c r="P190" s="22">
        <v>1309.3499999999999</v>
      </c>
      <c r="Q190" s="62" t="str">
        <f>IF(retail_store_performance_dashbo!$P190&gt;0,"Profit",IF(retail_store_performance_dashbo!$P190&lt;0,"Loss","Break Even"))</f>
        <v>Profit</v>
      </c>
      <c r="R190" s="62" t="str" cm="1">
        <f t="array" ref="R190">_xlfn.IFS(L190=0,"No Discount",L190&lt;=5,"Low Discount",L190&lt;=10,"Medium Discount",L190&lt;=20,"High Discount")</f>
        <v>Low Discount</v>
      </c>
      <c r="S190" s="20" t="s">
        <v>67</v>
      </c>
      <c r="T190" s="20" t="s">
        <v>36</v>
      </c>
      <c r="U190" s="23">
        <v>4.9000000000000004</v>
      </c>
      <c r="V190" s="75" t="str" cm="1">
        <f t="array" ref="V190">_xlfn.IFS(U190=0,"Not Rated",U190&gt;=4.5,"High Rating",U190&gt;=3,"Medium Rating",U190&lt;3,"Low Rating")</f>
        <v>High Rating</v>
      </c>
    </row>
    <row r="191" spans="1:22" x14ac:dyDescent="0.3">
      <c r="A191" s="24" t="s">
        <v>457</v>
      </c>
      <c r="B191" s="25">
        <v>46110</v>
      </c>
      <c r="C191" s="26" t="s">
        <v>51</v>
      </c>
      <c r="D191" s="26" t="s">
        <v>52</v>
      </c>
      <c r="E191" s="26" t="s">
        <v>53</v>
      </c>
      <c r="F191" s="26" t="s">
        <v>54</v>
      </c>
      <c r="G191" s="26" t="s">
        <v>55</v>
      </c>
      <c r="H191" s="26" t="s">
        <v>58</v>
      </c>
      <c r="I191" s="26" t="s">
        <v>69</v>
      </c>
      <c r="J191" s="27">
        <v>4</v>
      </c>
      <c r="K191" s="28">
        <v>696.16</v>
      </c>
      <c r="L191" s="27">
        <v>10</v>
      </c>
      <c r="M191" s="22">
        <f t="shared" si="2"/>
        <v>278.464</v>
      </c>
      <c r="N191" s="28">
        <v>2506.1799999999998</v>
      </c>
      <c r="O191" s="28">
        <v>1600</v>
      </c>
      <c r="P191" s="28">
        <v>906.18</v>
      </c>
      <c r="Q191" s="72" t="str">
        <f>IF(retail_store_performance_dashbo!$P191&gt;0,"Profit",IF(retail_store_performance_dashbo!$P191&lt;0,"Loss","Break Even"))</f>
        <v>Profit</v>
      </c>
      <c r="R191" s="62" t="str" cm="1">
        <f t="array" ref="R191">_xlfn.IFS(L191=0,"No Discount",L191&lt;=5,"Low Discount",L191&lt;=10,"Medium Discount",L191&lt;=20,"High Discount")</f>
        <v>Medium Discount</v>
      </c>
      <c r="S191" s="26" t="s">
        <v>67</v>
      </c>
      <c r="T191" s="26" t="s">
        <v>36</v>
      </c>
      <c r="U191" s="29">
        <v>3</v>
      </c>
      <c r="V191" s="75" t="str" cm="1">
        <f t="array" ref="V191">_xlfn.IFS(U191=0,"Not Rated",U191&gt;=4.5,"High Rating",U191&gt;=3,"Medium Rating",U191&lt;3,"Low Rating")</f>
        <v>Medium Rating</v>
      </c>
    </row>
    <row r="192" spans="1:22" x14ac:dyDescent="0.3">
      <c r="A192" s="18" t="s">
        <v>138</v>
      </c>
      <c r="B192" s="19">
        <v>46111</v>
      </c>
      <c r="C192" s="20" t="s">
        <v>38</v>
      </c>
      <c r="D192" s="20" t="s">
        <v>39</v>
      </c>
      <c r="E192" s="20" t="s">
        <v>39</v>
      </c>
      <c r="F192" s="20" t="s">
        <v>32</v>
      </c>
      <c r="G192" s="20" t="s">
        <v>40</v>
      </c>
      <c r="H192" s="20" t="s">
        <v>41</v>
      </c>
      <c r="I192" s="20" t="s">
        <v>135</v>
      </c>
      <c r="J192" s="21">
        <v>1</v>
      </c>
      <c r="K192" s="22">
        <v>1855.52</v>
      </c>
      <c r="L192" s="21">
        <v>10</v>
      </c>
      <c r="M192" s="22">
        <f t="shared" si="2"/>
        <v>185.55200000000002</v>
      </c>
      <c r="N192" s="22">
        <v>1669.97</v>
      </c>
      <c r="O192" s="22">
        <v>1100</v>
      </c>
      <c r="P192" s="22">
        <v>569.97</v>
      </c>
      <c r="Q192" s="62" t="str">
        <f>IF(retail_store_performance_dashbo!$P192&gt;0,"Profit",IF(retail_store_performance_dashbo!$P192&lt;0,"Loss","Break Even"))</f>
        <v>Profit</v>
      </c>
      <c r="R192" s="62" t="str" cm="1">
        <f t="array" ref="R192">_xlfn.IFS(L192=0,"No Discount",L192&lt;=5,"Low Discount",L192&lt;=10,"Medium Discount",L192&lt;=20,"High Discount")</f>
        <v>Medium Discount</v>
      </c>
      <c r="S192" s="20" t="s">
        <v>35</v>
      </c>
      <c r="T192" s="20" t="s">
        <v>36</v>
      </c>
      <c r="U192" s="23">
        <v>4.3</v>
      </c>
      <c r="V192" s="75" t="str" cm="1">
        <f t="array" ref="V192">_xlfn.IFS(U192=0,"Not Rated",U192&gt;=4.5,"High Rating",U192&gt;=3,"Medium Rating",U192&lt;3,"Low Rating")</f>
        <v>Medium Rating</v>
      </c>
    </row>
    <row r="193" spans="1:22" x14ac:dyDescent="0.3">
      <c r="A193" s="24" t="s">
        <v>304</v>
      </c>
      <c r="B193" s="25">
        <v>46113</v>
      </c>
      <c r="C193" s="26" t="s">
        <v>38</v>
      </c>
      <c r="D193" s="26" t="s">
        <v>39</v>
      </c>
      <c r="E193" s="26" t="s">
        <v>39</v>
      </c>
      <c r="F193" s="26" t="s">
        <v>32</v>
      </c>
      <c r="G193" s="26" t="s">
        <v>40</v>
      </c>
      <c r="H193" s="26" t="s">
        <v>58</v>
      </c>
      <c r="I193" s="26" t="s">
        <v>59</v>
      </c>
      <c r="J193" s="27">
        <v>6</v>
      </c>
      <c r="K193" s="28">
        <v>5097.0600000000004</v>
      </c>
      <c r="L193" s="27">
        <v>0</v>
      </c>
      <c r="M193" s="22">
        <f t="shared" si="2"/>
        <v>0</v>
      </c>
      <c r="N193" s="28">
        <v>30582.36</v>
      </c>
      <c r="O193" s="28">
        <v>21600</v>
      </c>
      <c r="P193" s="28">
        <v>8982.36</v>
      </c>
      <c r="Q193" s="72" t="str">
        <f>IF(retail_store_performance_dashbo!$P193&gt;0,"Profit",IF(retail_store_performance_dashbo!$P193&lt;0,"Loss","Break Even"))</f>
        <v>Profit</v>
      </c>
      <c r="R193" s="62" t="str" cm="1">
        <f t="array" ref="R193">_xlfn.IFS(L193=0,"No Discount",L193&lt;=5,"Low Discount",L193&lt;=10,"Medium Discount",L193&lt;=20,"High Discount")</f>
        <v>No Discount</v>
      </c>
      <c r="S193" s="26" t="s">
        <v>67</v>
      </c>
      <c r="T193" s="26" t="s">
        <v>36</v>
      </c>
      <c r="U193" s="29">
        <v>4</v>
      </c>
      <c r="V193" s="75" t="str" cm="1">
        <f t="array" ref="V193">_xlfn.IFS(U193=0,"Not Rated",U193&gt;=4.5,"High Rating",U193&gt;=3,"Medium Rating",U193&lt;3,"Low Rating")</f>
        <v>Medium Rating</v>
      </c>
    </row>
    <row r="194" spans="1:22" x14ac:dyDescent="0.3">
      <c r="A194" s="18" t="s">
        <v>365</v>
      </c>
      <c r="B194" s="19">
        <v>46113</v>
      </c>
      <c r="C194" s="20" t="s">
        <v>77</v>
      </c>
      <c r="D194" s="20" t="s">
        <v>78</v>
      </c>
      <c r="E194" s="20" t="s">
        <v>79</v>
      </c>
      <c r="F194" s="20" t="s">
        <v>80</v>
      </c>
      <c r="G194" s="20" t="s">
        <v>81</v>
      </c>
      <c r="H194" s="20" t="s">
        <v>58</v>
      </c>
      <c r="I194" s="20" t="s">
        <v>59</v>
      </c>
      <c r="J194" s="21">
        <v>1</v>
      </c>
      <c r="K194" s="22">
        <v>5108.21</v>
      </c>
      <c r="L194" s="21">
        <v>0</v>
      </c>
      <c r="M194" s="22">
        <f t="shared" si="2"/>
        <v>0</v>
      </c>
      <c r="N194" s="22">
        <v>0</v>
      </c>
      <c r="O194" s="22">
        <v>3600</v>
      </c>
      <c r="P194" s="22">
        <v>0</v>
      </c>
      <c r="Q194" s="62" t="str">
        <f>IF(retail_store_performance_dashbo!$P194&gt;0,"Profit",IF(retail_store_performance_dashbo!$P194&lt;0,"Loss","Break Even"))</f>
        <v>Break Even</v>
      </c>
      <c r="R194" s="62" t="str" cm="1">
        <f t="array" ref="R194">_xlfn.IFS(L194=0,"No Discount",L194&lt;=5,"Low Discount",L194&lt;=10,"Medium Discount",L194&lt;=20,"High Discount")</f>
        <v>No Discount</v>
      </c>
      <c r="S194" s="20" t="s">
        <v>26</v>
      </c>
      <c r="T194" s="20" t="s">
        <v>83</v>
      </c>
      <c r="U194" s="23">
        <v>0</v>
      </c>
      <c r="V194" s="75" t="str" cm="1">
        <f t="array" ref="V194">_xlfn.IFS(U194=0,"Not Rated",U194&gt;=4.5,"High Rating",U194&gt;=3,"Medium Rating",U194&lt;3,"Low Rating")</f>
        <v>Not Rated</v>
      </c>
    </row>
    <row r="195" spans="1:22" x14ac:dyDescent="0.3">
      <c r="A195" s="24" t="s">
        <v>532</v>
      </c>
      <c r="B195" s="25">
        <v>46113</v>
      </c>
      <c r="C195" s="26" t="s">
        <v>77</v>
      </c>
      <c r="D195" s="26" t="s">
        <v>78</v>
      </c>
      <c r="E195" s="26" t="s">
        <v>79</v>
      </c>
      <c r="F195" s="26" t="s">
        <v>80</v>
      </c>
      <c r="G195" s="26" t="s">
        <v>81</v>
      </c>
      <c r="H195" s="26" t="s">
        <v>24</v>
      </c>
      <c r="I195" s="26" t="s">
        <v>66</v>
      </c>
      <c r="J195" s="27">
        <v>3</v>
      </c>
      <c r="K195" s="28">
        <v>563.95000000000005</v>
      </c>
      <c r="L195" s="27">
        <v>20</v>
      </c>
      <c r="M195" s="22">
        <f t="shared" ref="M195:M258" si="3">J195*K195*L195/100</f>
        <v>338.37</v>
      </c>
      <c r="N195" s="28">
        <v>1353.48</v>
      </c>
      <c r="O195" s="28">
        <v>1020</v>
      </c>
      <c r="P195" s="28">
        <v>333.48</v>
      </c>
      <c r="Q195" s="72" t="str">
        <f>IF(retail_store_performance_dashbo!$P195&gt;0,"Profit",IF(retail_store_performance_dashbo!$P195&lt;0,"Loss","Break Even"))</f>
        <v>Profit</v>
      </c>
      <c r="R195" s="62" t="str" cm="1">
        <f t="array" ref="R195">_xlfn.IFS(L195=0,"No Discount",L195&lt;=5,"Low Discount",L195&lt;=10,"Medium Discount",L195&lt;=20,"High Discount")</f>
        <v>High Discount</v>
      </c>
      <c r="S195" s="26" t="s">
        <v>70</v>
      </c>
      <c r="T195" s="26" t="s">
        <v>36</v>
      </c>
      <c r="U195" s="29">
        <v>3.1</v>
      </c>
      <c r="V195" s="75" t="str" cm="1">
        <f t="array" ref="V195">_xlfn.IFS(U195=0,"Not Rated",U195&gt;=4.5,"High Rating",U195&gt;=3,"Medium Rating",U195&lt;3,"Low Rating")</f>
        <v>Medium Rating</v>
      </c>
    </row>
    <row r="196" spans="1:22" x14ac:dyDescent="0.3">
      <c r="A196" s="18" t="s">
        <v>511</v>
      </c>
      <c r="B196" s="19">
        <v>46114</v>
      </c>
      <c r="C196" s="20" t="s">
        <v>97</v>
      </c>
      <c r="D196" s="20" t="s">
        <v>98</v>
      </c>
      <c r="E196" s="20" t="s">
        <v>99</v>
      </c>
      <c r="F196" s="20" t="s">
        <v>54</v>
      </c>
      <c r="G196" s="20" t="s">
        <v>100</v>
      </c>
      <c r="H196" s="20" t="s">
        <v>24</v>
      </c>
      <c r="I196" s="20" t="s">
        <v>75</v>
      </c>
      <c r="J196" s="21">
        <v>6</v>
      </c>
      <c r="K196" s="22">
        <v>440.75</v>
      </c>
      <c r="L196" s="21">
        <v>5</v>
      </c>
      <c r="M196" s="22">
        <f t="shared" si="3"/>
        <v>132.22499999999999</v>
      </c>
      <c r="N196" s="22">
        <v>2512.2800000000002</v>
      </c>
      <c r="O196" s="22">
        <v>1740</v>
      </c>
      <c r="P196" s="22">
        <v>772.28</v>
      </c>
      <c r="Q196" s="62" t="str">
        <f>IF(retail_store_performance_dashbo!$P196&gt;0,"Profit",IF(retail_store_performance_dashbo!$P196&lt;0,"Loss","Break Even"))</f>
        <v>Profit</v>
      </c>
      <c r="R196" s="62" t="str" cm="1">
        <f t="array" ref="R196">_xlfn.IFS(L196=0,"No Discount",L196&lt;=5,"Low Discount",L196&lt;=10,"Medium Discount",L196&lt;=20,"High Discount")</f>
        <v>Low Discount</v>
      </c>
      <c r="S196" s="20" t="s">
        <v>35</v>
      </c>
      <c r="T196" s="20" t="s">
        <v>36</v>
      </c>
      <c r="U196" s="23">
        <v>3.1</v>
      </c>
      <c r="V196" s="75" t="str" cm="1">
        <f t="array" ref="V196">_xlfn.IFS(U196=0,"Not Rated",U196&gt;=4.5,"High Rating",U196&gt;=3,"Medium Rating",U196&lt;3,"Low Rating")</f>
        <v>Medium Rating</v>
      </c>
    </row>
    <row r="197" spans="1:22" x14ac:dyDescent="0.3">
      <c r="A197" s="24" t="s">
        <v>295</v>
      </c>
      <c r="B197" s="25">
        <v>46115</v>
      </c>
      <c r="C197" s="26" t="s">
        <v>77</v>
      </c>
      <c r="D197" s="26" t="s">
        <v>78</v>
      </c>
      <c r="E197" s="26" t="s">
        <v>79</v>
      </c>
      <c r="F197" s="26" t="s">
        <v>80</v>
      </c>
      <c r="G197" s="26" t="s">
        <v>81</v>
      </c>
      <c r="H197" s="26" t="s">
        <v>45</v>
      </c>
      <c r="I197" s="26" t="s">
        <v>101</v>
      </c>
      <c r="J197" s="27">
        <v>3</v>
      </c>
      <c r="K197" s="28">
        <v>1861.76</v>
      </c>
      <c r="L197" s="27">
        <v>10</v>
      </c>
      <c r="M197" s="22">
        <f t="shared" si="3"/>
        <v>558.52799999999991</v>
      </c>
      <c r="N197" s="28">
        <v>5026.75</v>
      </c>
      <c r="O197" s="28">
        <v>3150</v>
      </c>
      <c r="P197" s="28">
        <v>1876.75</v>
      </c>
      <c r="Q197" s="72" t="str">
        <f>IF(retail_store_performance_dashbo!$P197&gt;0,"Profit",IF(retail_store_performance_dashbo!$P197&lt;0,"Loss","Break Even"))</f>
        <v>Profit</v>
      </c>
      <c r="R197" s="62" t="str" cm="1">
        <f t="array" ref="R197">_xlfn.IFS(L197=0,"No Discount",L197&lt;=5,"Low Discount",L197&lt;=10,"Medium Discount",L197&lt;=20,"High Discount")</f>
        <v>Medium Discount</v>
      </c>
      <c r="S197" s="26" t="s">
        <v>35</v>
      </c>
      <c r="T197" s="26" t="s">
        <v>36</v>
      </c>
      <c r="U197" s="29">
        <v>3.3</v>
      </c>
      <c r="V197" s="75" t="str" cm="1">
        <f t="array" ref="V197">_xlfn.IFS(U197=0,"Not Rated",U197&gt;=4.5,"High Rating",U197&gt;=3,"Medium Rating",U197&lt;3,"Low Rating")</f>
        <v>Medium Rating</v>
      </c>
    </row>
    <row r="198" spans="1:22" x14ac:dyDescent="0.3">
      <c r="A198" s="18" t="s">
        <v>434</v>
      </c>
      <c r="B198" s="19">
        <v>46115</v>
      </c>
      <c r="C198" s="20" t="s">
        <v>97</v>
      </c>
      <c r="D198" s="20" t="s">
        <v>98</v>
      </c>
      <c r="E198" s="20" t="s">
        <v>99</v>
      </c>
      <c r="F198" s="20" t="s">
        <v>54</v>
      </c>
      <c r="G198" s="20" t="s">
        <v>100</v>
      </c>
      <c r="H198" s="20" t="s">
        <v>41</v>
      </c>
      <c r="I198" s="20" t="s">
        <v>42</v>
      </c>
      <c r="J198" s="21">
        <v>6</v>
      </c>
      <c r="K198" s="22">
        <v>4320.82</v>
      </c>
      <c r="L198" s="21">
        <v>0</v>
      </c>
      <c r="M198" s="22">
        <f t="shared" si="3"/>
        <v>0</v>
      </c>
      <c r="N198" s="22">
        <v>25924.92</v>
      </c>
      <c r="O198" s="22">
        <v>17400</v>
      </c>
      <c r="P198" s="22">
        <v>8524.92</v>
      </c>
      <c r="Q198" s="62" t="str">
        <f>IF(retail_store_performance_dashbo!$P198&gt;0,"Profit",IF(retail_store_performance_dashbo!$P198&lt;0,"Loss","Break Even"))</f>
        <v>Profit</v>
      </c>
      <c r="R198" s="62" t="str" cm="1">
        <f t="array" ref="R198">_xlfn.IFS(L198=0,"No Discount",L198&lt;=5,"Low Discount",L198&lt;=10,"Medium Discount",L198&lt;=20,"High Discount")</f>
        <v>No Discount</v>
      </c>
      <c r="S198" s="20" t="s">
        <v>43</v>
      </c>
      <c r="T198" s="20" t="s">
        <v>36</v>
      </c>
      <c r="U198" s="23">
        <v>3.8</v>
      </c>
      <c r="V198" s="75" t="str" cm="1">
        <f t="array" ref="V198">_xlfn.IFS(U198=0,"Not Rated",U198&gt;=4.5,"High Rating",U198&gt;=3,"Medium Rating",U198&lt;3,"Low Rating")</f>
        <v>Medium Rating</v>
      </c>
    </row>
    <row r="199" spans="1:22" x14ac:dyDescent="0.3">
      <c r="A199" s="24" t="s">
        <v>476</v>
      </c>
      <c r="B199" s="25">
        <v>46115</v>
      </c>
      <c r="C199" s="26" t="s">
        <v>19</v>
      </c>
      <c r="D199" s="26" t="s">
        <v>20</v>
      </c>
      <c r="E199" s="26" t="s">
        <v>21</v>
      </c>
      <c r="F199" s="26" t="s">
        <v>22</v>
      </c>
      <c r="G199" s="26" t="s">
        <v>23</v>
      </c>
      <c r="H199" s="26" t="s">
        <v>48</v>
      </c>
      <c r="I199" s="26" t="s">
        <v>109</v>
      </c>
      <c r="J199" s="27">
        <v>5</v>
      </c>
      <c r="K199" s="28">
        <v>655.92</v>
      </c>
      <c r="L199" s="27">
        <v>15</v>
      </c>
      <c r="M199" s="22">
        <f t="shared" si="3"/>
        <v>491.94</v>
      </c>
      <c r="N199" s="28">
        <v>2787.66</v>
      </c>
      <c r="O199" s="28">
        <v>2550</v>
      </c>
      <c r="P199" s="28">
        <v>237.66</v>
      </c>
      <c r="Q199" s="72" t="str">
        <f>IF(retail_store_performance_dashbo!$P199&gt;0,"Profit",IF(retail_store_performance_dashbo!$P199&lt;0,"Loss","Break Even"))</f>
        <v>Profit</v>
      </c>
      <c r="R199" s="62" t="str" cm="1">
        <f t="array" ref="R199">_xlfn.IFS(L199=0,"No Discount",L199&lt;=5,"Low Discount",L199&lt;=10,"Medium Discount",L199&lt;=20,"High Discount")</f>
        <v>High Discount</v>
      </c>
      <c r="S199" s="26" t="s">
        <v>35</v>
      </c>
      <c r="T199" s="26" t="s">
        <v>36</v>
      </c>
      <c r="U199" s="29">
        <v>3.3</v>
      </c>
      <c r="V199" s="75" t="str" cm="1">
        <f t="array" ref="V199">_xlfn.IFS(U199=0,"Not Rated",U199&gt;=4.5,"High Rating",U199&gt;=3,"Medium Rating",U199&lt;3,"Low Rating")</f>
        <v>Medium Rating</v>
      </c>
    </row>
    <row r="200" spans="1:22" x14ac:dyDescent="0.3">
      <c r="A200" s="18" t="s">
        <v>501</v>
      </c>
      <c r="B200" s="19">
        <v>46116</v>
      </c>
      <c r="C200" s="20" t="s">
        <v>61</v>
      </c>
      <c r="D200" s="20" t="s">
        <v>62</v>
      </c>
      <c r="E200" s="20" t="s">
        <v>63</v>
      </c>
      <c r="F200" s="20" t="s">
        <v>22</v>
      </c>
      <c r="G200" s="20" t="s">
        <v>64</v>
      </c>
      <c r="H200" s="20" t="s">
        <v>48</v>
      </c>
      <c r="I200" s="20" t="s">
        <v>109</v>
      </c>
      <c r="J200" s="21">
        <v>2</v>
      </c>
      <c r="K200" s="22">
        <v>670.13</v>
      </c>
      <c r="L200" s="21">
        <v>0</v>
      </c>
      <c r="M200" s="22">
        <f t="shared" si="3"/>
        <v>0</v>
      </c>
      <c r="N200" s="22">
        <v>1340.26</v>
      </c>
      <c r="O200" s="22">
        <v>1020</v>
      </c>
      <c r="P200" s="22">
        <v>320.26</v>
      </c>
      <c r="Q200" s="62" t="str">
        <f>IF(retail_store_performance_dashbo!$P200&gt;0,"Profit",IF(retail_store_performance_dashbo!$P200&lt;0,"Loss","Break Even"))</f>
        <v>Profit</v>
      </c>
      <c r="R200" s="62" t="str" cm="1">
        <f t="array" ref="R200">_xlfn.IFS(L200=0,"No Discount",L200&lt;=5,"Low Discount",L200&lt;=10,"Medium Discount",L200&lt;=20,"High Discount")</f>
        <v>No Discount</v>
      </c>
      <c r="S200" s="20" t="s">
        <v>43</v>
      </c>
      <c r="T200" s="20" t="s">
        <v>36</v>
      </c>
      <c r="U200" s="23">
        <v>4.7</v>
      </c>
      <c r="V200" s="75" t="str" cm="1">
        <f t="array" ref="V200">_xlfn.IFS(U200=0,"Not Rated",U200&gt;=4.5,"High Rating",U200&gt;=3,"Medium Rating",U200&lt;3,"Low Rating")</f>
        <v>High Rating</v>
      </c>
    </row>
    <row r="201" spans="1:22" x14ac:dyDescent="0.3">
      <c r="A201" s="24" t="s">
        <v>573</v>
      </c>
      <c r="B201" s="25">
        <v>46116</v>
      </c>
      <c r="C201" s="26" t="s">
        <v>38</v>
      </c>
      <c r="D201" s="26" t="s">
        <v>39</v>
      </c>
      <c r="E201" s="26" t="s">
        <v>39</v>
      </c>
      <c r="F201" s="26" t="s">
        <v>32</v>
      </c>
      <c r="G201" s="26" t="s">
        <v>40</v>
      </c>
      <c r="H201" s="26" t="s">
        <v>45</v>
      </c>
      <c r="I201" s="26" t="s">
        <v>46</v>
      </c>
      <c r="J201" s="27">
        <v>3</v>
      </c>
      <c r="K201" s="28">
        <v>3064.84</v>
      </c>
      <c r="L201" s="27">
        <v>0</v>
      </c>
      <c r="M201" s="22">
        <f t="shared" si="3"/>
        <v>0</v>
      </c>
      <c r="N201" s="28">
        <v>9194.52</v>
      </c>
      <c r="O201" s="28">
        <v>5700</v>
      </c>
      <c r="P201" s="28">
        <v>3494.52</v>
      </c>
      <c r="Q201" s="72" t="str">
        <f>IF(retail_store_performance_dashbo!$P201&gt;0,"Profit",IF(retail_store_performance_dashbo!$P201&lt;0,"Loss","Break Even"))</f>
        <v>Profit</v>
      </c>
      <c r="R201" s="62" t="str" cm="1">
        <f t="array" ref="R201">_xlfn.IFS(L201=0,"No Discount",L201&lt;=5,"Low Discount",L201&lt;=10,"Medium Discount",L201&lt;=20,"High Discount")</f>
        <v>No Discount</v>
      </c>
      <c r="S201" s="26" t="s">
        <v>43</v>
      </c>
      <c r="T201" s="26" t="s">
        <v>36</v>
      </c>
      <c r="U201" s="29">
        <v>3.1</v>
      </c>
      <c r="V201" s="75" t="str" cm="1">
        <f t="array" ref="V201">_xlfn.IFS(U201=0,"Not Rated",U201&gt;=4.5,"High Rating",U201&gt;=3,"Medium Rating",U201&lt;3,"Low Rating")</f>
        <v>Medium Rating</v>
      </c>
    </row>
    <row r="202" spans="1:22" x14ac:dyDescent="0.3">
      <c r="A202" s="18" t="s">
        <v>157</v>
      </c>
      <c r="B202" s="19">
        <v>46117</v>
      </c>
      <c r="C202" s="20" t="s">
        <v>77</v>
      </c>
      <c r="D202" s="20" t="s">
        <v>78</v>
      </c>
      <c r="E202" s="20" t="s">
        <v>79</v>
      </c>
      <c r="F202" s="20" t="s">
        <v>80</v>
      </c>
      <c r="G202" s="20" t="s">
        <v>81</v>
      </c>
      <c r="H202" s="20" t="s">
        <v>24</v>
      </c>
      <c r="I202" s="20" t="s">
        <v>25</v>
      </c>
      <c r="J202" s="21">
        <v>6</v>
      </c>
      <c r="K202" s="22">
        <v>346.5</v>
      </c>
      <c r="L202" s="21">
        <v>5</v>
      </c>
      <c r="M202" s="22">
        <f t="shared" si="3"/>
        <v>103.95</v>
      </c>
      <c r="N202" s="22">
        <v>1975.05</v>
      </c>
      <c r="O202" s="22">
        <v>1320</v>
      </c>
      <c r="P202" s="22">
        <v>655.04999999999995</v>
      </c>
      <c r="Q202" s="62" t="str">
        <f>IF(retail_store_performance_dashbo!$P202&gt;0,"Profit",IF(retail_store_performance_dashbo!$P202&lt;0,"Loss","Break Even"))</f>
        <v>Profit</v>
      </c>
      <c r="R202" s="62" t="str" cm="1">
        <f t="array" ref="R202">_xlfn.IFS(L202=0,"No Discount",L202&lt;=5,"Low Discount",L202&lt;=10,"Medium Discount",L202&lt;=20,"High Discount")</f>
        <v>Low Discount</v>
      </c>
      <c r="S202" s="20" t="s">
        <v>67</v>
      </c>
      <c r="T202" s="20" t="s">
        <v>36</v>
      </c>
      <c r="U202" s="23">
        <v>4.5999999999999996</v>
      </c>
      <c r="V202" s="75" t="str" cm="1">
        <f t="array" ref="V202">_xlfn.IFS(U202=0,"Not Rated",U202&gt;=4.5,"High Rating",U202&gt;=3,"Medium Rating",U202&lt;3,"Low Rating")</f>
        <v>High Rating</v>
      </c>
    </row>
    <row r="203" spans="1:22" x14ac:dyDescent="0.3">
      <c r="A203" s="24" t="s">
        <v>357</v>
      </c>
      <c r="B203" s="25">
        <v>46117</v>
      </c>
      <c r="C203" s="26" t="s">
        <v>97</v>
      </c>
      <c r="D203" s="26" t="s">
        <v>98</v>
      </c>
      <c r="E203" s="26" t="s">
        <v>99</v>
      </c>
      <c r="F203" s="26" t="s">
        <v>54</v>
      </c>
      <c r="G203" s="26" t="s">
        <v>100</v>
      </c>
      <c r="H203" s="26" t="s">
        <v>24</v>
      </c>
      <c r="I203" s="26" t="s">
        <v>75</v>
      </c>
      <c r="J203" s="27">
        <v>4</v>
      </c>
      <c r="K203" s="28">
        <v>449.04</v>
      </c>
      <c r="L203" s="27">
        <v>5</v>
      </c>
      <c r="M203" s="22">
        <f t="shared" si="3"/>
        <v>89.808000000000007</v>
      </c>
      <c r="N203" s="28">
        <v>1706.35</v>
      </c>
      <c r="O203" s="28">
        <v>1160</v>
      </c>
      <c r="P203" s="28">
        <v>546.35</v>
      </c>
      <c r="Q203" s="72" t="str">
        <f>IF(retail_store_performance_dashbo!$P203&gt;0,"Profit",IF(retail_store_performance_dashbo!$P203&lt;0,"Loss","Break Even"))</f>
        <v>Profit</v>
      </c>
      <c r="R203" s="62" t="str" cm="1">
        <f t="array" ref="R203">_xlfn.IFS(L203=0,"No Discount",L203&lt;=5,"Low Discount",L203&lt;=10,"Medium Discount",L203&lt;=20,"High Discount")</f>
        <v>Low Discount</v>
      </c>
      <c r="S203" s="26" t="s">
        <v>70</v>
      </c>
      <c r="T203" s="26" t="s">
        <v>36</v>
      </c>
      <c r="U203" s="29">
        <v>3.9</v>
      </c>
      <c r="V203" s="75" t="str" cm="1">
        <f t="array" ref="V203">_xlfn.IFS(U203=0,"Not Rated",U203&gt;=4.5,"High Rating",U203&gt;=3,"Medium Rating",U203&lt;3,"Low Rating")</f>
        <v>Medium Rating</v>
      </c>
    </row>
    <row r="204" spans="1:22" x14ac:dyDescent="0.3">
      <c r="A204" s="18" t="s">
        <v>264</v>
      </c>
      <c r="B204" s="19">
        <v>46118</v>
      </c>
      <c r="C204" s="20" t="s">
        <v>61</v>
      </c>
      <c r="D204" s="20" t="s">
        <v>62</v>
      </c>
      <c r="E204" s="20" t="s">
        <v>63</v>
      </c>
      <c r="F204" s="20" t="s">
        <v>22</v>
      </c>
      <c r="G204" s="20" t="s">
        <v>64</v>
      </c>
      <c r="H204" s="20" t="s">
        <v>41</v>
      </c>
      <c r="I204" s="20" t="s">
        <v>92</v>
      </c>
      <c r="J204" s="21">
        <v>2</v>
      </c>
      <c r="K204" s="22">
        <v>52449.05</v>
      </c>
      <c r="L204" s="21">
        <v>20</v>
      </c>
      <c r="M204" s="22">
        <f t="shared" si="3"/>
        <v>20979.62</v>
      </c>
      <c r="N204" s="22">
        <v>83918.48</v>
      </c>
      <c r="O204" s="22">
        <v>84000</v>
      </c>
      <c r="P204" s="22">
        <v>-81.52</v>
      </c>
      <c r="Q204" s="62" t="str">
        <f>IF(retail_store_performance_dashbo!$P204&gt;0,"Profit",IF(retail_store_performance_dashbo!$P204&lt;0,"Loss","Break Even"))</f>
        <v>Loss</v>
      </c>
      <c r="R204" s="62" t="str" cm="1">
        <f t="array" ref="R204">_xlfn.IFS(L204=0,"No Discount",L204&lt;=5,"Low Discount",L204&lt;=10,"Medium Discount",L204&lt;=20,"High Discount")</f>
        <v>High Discount</v>
      </c>
      <c r="S204" s="20" t="s">
        <v>67</v>
      </c>
      <c r="T204" s="20" t="s">
        <v>36</v>
      </c>
      <c r="U204" s="23">
        <v>4.0999999999999996</v>
      </c>
      <c r="V204" s="75" t="str" cm="1">
        <f t="array" ref="V204">_xlfn.IFS(U204=0,"Not Rated",U204&gt;=4.5,"High Rating",U204&gt;=3,"Medium Rating",U204&lt;3,"Low Rating")</f>
        <v>Medium Rating</v>
      </c>
    </row>
    <row r="205" spans="1:22" x14ac:dyDescent="0.3">
      <c r="A205" s="24" t="s">
        <v>317</v>
      </c>
      <c r="B205" s="25">
        <v>46118</v>
      </c>
      <c r="C205" s="26" t="s">
        <v>97</v>
      </c>
      <c r="D205" s="26" t="s">
        <v>98</v>
      </c>
      <c r="E205" s="26" t="s">
        <v>99</v>
      </c>
      <c r="F205" s="26" t="s">
        <v>54</v>
      </c>
      <c r="G205" s="26" t="s">
        <v>100</v>
      </c>
      <c r="H205" s="26" t="s">
        <v>24</v>
      </c>
      <c r="I205" s="26" t="s">
        <v>66</v>
      </c>
      <c r="J205" s="27">
        <v>2</v>
      </c>
      <c r="K205" s="28">
        <v>525.58000000000004</v>
      </c>
      <c r="L205" s="27">
        <v>10</v>
      </c>
      <c r="M205" s="22">
        <f t="shared" si="3"/>
        <v>105.116</v>
      </c>
      <c r="N205" s="28">
        <v>946.04</v>
      </c>
      <c r="O205" s="28">
        <v>680</v>
      </c>
      <c r="P205" s="28">
        <v>266.04000000000002</v>
      </c>
      <c r="Q205" s="72" t="str">
        <f>IF(retail_store_performance_dashbo!$P205&gt;0,"Profit",IF(retail_store_performance_dashbo!$P205&lt;0,"Loss","Break Even"))</f>
        <v>Profit</v>
      </c>
      <c r="R205" s="62" t="str" cm="1">
        <f t="array" ref="R205">_xlfn.IFS(L205=0,"No Discount",L205&lt;=5,"Low Discount",L205&lt;=10,"Medium Discount",L205&lt;=20,"High Discount")</f>
        <v>Medium Discount</v>
      </c>
      <c r="S205" s="26" t="s">
        <v>70</v>
      </c>
      <c r="T205" s="26" t="s">
        <v>36</v>
      </c>
      <c r="U205" s="29">
        <v>3.8</v>
      </c>
      <c r="V205" s="75" t="str" cm="1">
        <f t="array" ref="V205">_xlfn.IFS(U205=0,"Not Rated",U205&gt;=4.5,"High Rating",U205&gt;=3,"Medium Rating",U205&lt;3,"Low Rating")</f>
        <v>Medium Rating</v>
      </c>
    </row>
    <row r="206" spans="1:22" x14ac:dyDescent="0.3">
      <c r="A206" s="18" t="s">
        <v>397</v>
      </c>
      <c r="B206" s="19">
        <v>46118</v>
      </c>
      <c r="C206" s="20" t="s">
        <v>19</v>
      </c>
      <c r="D206" s="20" t="s">
        <v>20</v>
      </c>
      <c r="E206" s="20" t="s">
        <v>21</v>
      </c>
      <c r="F206" s="20" t="s">
        <v>22</v>
      </c>
      <c r="G206" s="20" t="s">
        <v>23</v>
      </c>
      <c r="H206" s="20" t="s">
        <v>48</v>
      </c>
      <c r="I206" s="20" t="s">
        <v>49</v>
      </c>
      <c r="J206" s="21">
        <v>6</v>
      </c>
      <c r="K206" s="22">
        <v>293.36</v>
      </c>
      <c r="L206" s="21">
        <v>15</v>
      </c>
      <c r="M206" s="22">
        <f t="shared" si="3"/>
        <v>264.024</v>
      </c>
      <c r="N206" s="22">
        <v>1496.14</v>
      </c>
      <c r="O206" s="22">
        <v>1260</v>
      </c>
      <c r="P206" s="22">
        <v>236.14</v>
      </c>
      <c r="Q206" s="62" t="str">
        <f>IF(retail_store_performance_dashbo!$P206&gt;0,"Profit",IF(retail_store_performance_dashbo!$P206&lt;0,"Loss","Break Even"))</f>
        <v>Profit</v>
      </c>
      <c r="R206" s="62" t="str" cm="1">
        <f t="array" ref="R206">_xlfn.IFS(L206=0,"No Discount",L206&lt;=5,"Low Discount",L206&lt;=10,"Medium Discount",L206&lt;=20,"High Discount")</f>
        <v>High Discount</v>
      </c>
      <c r="S206" s="20" t="s">
        <v>43</v>
      </c>
      <c r="T206" s="20" t="s">
        <v>36</v>
      </c>
      <c r="U206" s="23">
        <v>3.9</v>
      </c>
      <c r="V206" s="75" t="str" cm="1">
        <f t="array" ref="V206">_xlfn.IFS(U206=0,"Not Rated",U206&gt;=4.5,"High Rating",U206&gt;=3,"Medium Rating",U206&lt;3,"Low Rating")</f>
        <v>Medium Rating</v>
      </c>
    </row>
    <row r="207" spans="1:22" x14ac:dyDescent="0.3">
      <c r="A207" s="24" t="s">
        <v>514</v>
      </c>
      <c r="B207" s="25">
        <v>46118</v>
      </c>
      <c r="C207" s="26" t="s">
        <v>61</v>
      </c>
      <c r="D207" s="26" t="s">
        <v>62</v>
      </c>
      <c r="E207" s="26" t="s">
        <v>63</v>
      </c>
      <c r="F207" s="26" t="s">
        <v>22</v>
      </c>
      <c r="G207" s="26" t="s">
        <v>64</v>
      </c>
      <c r="H207" s="26" t="s">
        <v>24</v>
      </c>
      <c r="I207" s="26" t="s">
        <v>66</v>
      </c>
      <c r="J207" s="27">
        <v>1</v>
      </c>
      <c r="K207" s="28">
        <v>551.41999999999996</v>
      </c>
      <c r="L207" s="27">
        <v>20</v>
      </c>
      <c r="M207" s="22">
        <f t="shared" si="3"/>
        <v>110.28399999999999</v>
      </c>
      <c r="N207" s="28">
        <v>441.14</v>
      </c>
      <c r="O207" s="28">
        <v>340</v>
      </c>
      <c r="P207" s="28">
        <v>101.14</v>
      </c>
      <c r="Q207" s="72" t="str">
        <f>IF(retail_store_performance_dashbo!$P207&gt;0,"Profit",IF(retail_store_performance_dashbo!$P207&lt;0,"Loss","Break Even"))</f>
        <v>Profit</v>
      </c>
      <c r="R207" s="62" t="str" cm="1">
        <f t="array" ref="R207">_xlfn.IFS(L207=0,"No Discount",L207&lt;=5,"Low Discount",L207&lt;=10,"Medium Discount",L207&lt;=20,"High Discount")</f>
        <v>High Discount</v>
      </c>
      <c r="S207" s="26" t="s">
        <v>67</v>
      </c>
      <c r="T207" s="26" t="s">
        <v>36</v>
      </c>
      <c r="U207" s="29">
        <v>3.8</v>
      </c>
      <c r="V207" s="75" t="str" cm="1">
        <f t="array" ref="V207">_xlfn.IFS(U207=0,"Not Rated",U207&gt;=4.5,"High Rating",U207&gt;=3,"Medium Rating",U207&lt;3,"Low Rating")</f>
        <v>Medium Rating</v>
      </c>
    </row>
    <row r="208" spans="1:22" x14ac:dyDescent="0.3">
      <c r="A208" s="18" t="s">
        <v>174</v>
      </c>
      <c r="B208" s="19">
        <v>46119</v>
      </c>
      <c r="C208" s="20" t="s">
        <v>51</v>
      </c>
      <c r="D208" s="20" t="s">
        <v>52</v>
      </c>
      <c r="E208" s="20" t="s">
        <v>53</v>
      </c>
      <c r="F208" s="20" t="s">
        <v>54</v>
      </c>
      <c r="G208" s="20" t="s">
        <v>55</v>
      </c>
      <c r="H208" s="20" t="s">
        <v>24</v>
      </c>
      <c r="I208" s="20" t="s">
        <v>75</v>
      </c>
      <c r="J208" s="21">
        <v>3</v>
      </c>
      <c r="K208" s="22">
        <v>461.47</v>
      </c>
      <c r="L208" s="21">
        <v>0</v>
      </c>
      <c r="M208" s="22">
        <f t="shared" si="3"/>
        <v>0</v>
      </c>
      <c r="N208" s="22">
        <v>1384.41</v>
      </c>
      <c r="O208" s="22">
        <v>870</v>
      </c>
      <c r="P208" s="22">
        <v>514.41</v>
      </c>
      <c r="Q208" s="62" t="str">
        <f>IF(retail_store_performance_dashbo!$P208&gt;0,"Profit",IF(retail_store_performance_dashbo!$P208&lt;0,"Loss","Break Even"))</f>
        <v>Profit</v>
      </c>
      <c r="R208" s="62" t="str" cm="1">
        <f t="array" ref="R208">_xlfn.IFS(L208=0,"No Discount",L208&lt;=5,"Low Discount",L208&lt;=10,"Medium Discount",L208&lt;=20,"High Discount")</f>
        <v>No Discount</v>
      </c>
      <c r="S208" s="20" t="s">
        <v>26</v>
      </c>
      <c r="T208" s="20" t="s">
        <v>36</v>
      </c>
      <c r="U208" s="23">
        <v>3.7</v>
      </c>
      <c r="V208" s="75" t="str" cm="1">
        <f t="array" ref="V208">_xlfn.IFS(U208=0,"Not Rated",U208&gt;=4.5,"High Rating",U208&gt;=3,"Medium Rating",U208&lt;3,"Low Rating")</f>
        <v>Medium Rating</v>
      </c>
    </row>
    <row r="209" spans="1:22" x14ac:dyDescent="0.3">
      <c r="A209" s="24" t="s">
        <v>102</v>
      </c>
      <c r="B209" s="25">
        <v>46121</v>
      </c>
      <c r="C209" s="26" t="s">
        <v>77</v>
      </c>
      <c r="D209" s="26" t="s">
        <v>78</v>
      </c>
      <c r="E209" s="26" t="s">
        <v>79</v>
      </c>
      <c r="F209" s="26" t="s">
        <v>80</v>
      </c>
      <c r="G209" s="26" t="s">
        <v>81</v>
      </c>
      <c r="H209" s="26" t="s">
        <v>45</v>
      </c>
      <c r="I209" s="26" t="s">
        <v>101</v>
      </c>
      <c r="J209" s="27">
        <v>3</v>
      </c>
      <c r="K209" s="28">
        <v>1741.45</v>
      </c>
      <c r="L209" s="27">
        <v>20</v>
      </c>
      <c r="M209" s="22">
        <f t="shared" si="3"/>
        <v>1044.8699999999999</v>
      </c>
      <c r="N209" s="28">
        <v>4179.4799999999996</v>
      </c>
      <c r="O209" s="28">
        <v>3150</v>
      </c>
      <c r="P209" s="28">
        <v>1029.48</v>
      </c>
      <c r="Q209" s="72" t="str">
        <f>IF(retail_store_performance_dashbo!$P209&gt;0,"Profit",IF(retail_store_performance_dashbo!$P209&lt;0,"Loss","Break Even"))</f>
        <v>Profit</v>
      </c>
      <c r="R209" s="62" t="str" cm="1">
        <f t="array" ref="R209">_xlfn.IFS(L209=0,"No Discount",L209&lt;=5,"Low Discount",L209&lt;=10,"Medium Discount",L209&lt;=20,"High Discount")</f>
        <v>High Discount</v>
      </c>
      <c r="S209" s="26" t="s">
        <v>43</v>
      </c>
      <c r="T209" s="26" t="s">
        <v>36</v>
      </c>
      <c r="U209" s="29">
        <v>4.5999999999999996</v>
      </c>
      <c r="V209" s="75" t="str" cm="1">
        <f t="array" ref="V209">_xlfn.IFS(U209=0,"Not Rated",U209&gt;=4.5,"High Rating",U209&gt;=3,"Medium Rating",U209&lt;3,"Low Rating")</f>
        <v>High Rating</v>
      </c>
    </row>
    <row r="210" spans="1:22" x14ac:dyDescent="0.3">
      <c r="A210" s="18" t="s">
        <v>181</v>
      </c>
      <c r="B210" s="19">
        <v>46121</v>
      </c>
      <c r="C210" s="20" t="s">
        <v>51</v>
      </c>
      <c r="D210" s="20" t="s">
        <v>52</v>
      </c>
      <c r="E210" s="20" t="s">
        <v>53</v>
      </c>
      <c r="F210" s="20" t="s">
        <v>54</v>
      </c>
      <c r="G210" s="20" t="s">
        <v>55</v>
      </c>
      <c r="H210" s="20" t="s">
        <v>24</v>
      </c>
      <c r="I210" s="20" t="s">
        <v>25</v>
      </c>
      <c r="J210" s="21">
        <v>4</v>
      </c>
      <c r="K210" s="22">
        <v>359.96</v>
      </c>
      <c r="L210" s="21">
        <v>10</v>
      </c>
      <c r="M210" s="22">
        <f t="shared" si="3"/>
        <v>143.98400000000001</v>
      </c>
      <c r="N210" s="22">
        <v>1295.8599999999999</v>
      </c>
      <c r="O210" s="22">
        <v>880</v>
      </c>
      <c r="P210" s="22">
        <v>415.86</v>
      </c>
      <c r="Q210" s="62" t="str">
        <f>IF(retail_store_performance_dashbo!$P210&gt;0,"Profit",IF(retail_store_performance_dashbo!$P210&lt;0,"Loss","Break Even"))</f>
        <v>Profit</v>
      </c>
      <c r="R210" s="62" t="str" cm="1">
        <f t="array" ref="R210">_xlfn.IFS(L210=0,"No Discount",L210&lt;=5,"Low Discount",L210&lt;=10,"Medium Discount",L210&lt;=20,"High Discount")</f>
        <v>Medium Discount</v>
      </c>
      <c r="S210" s="20" t="s">
        <v>70</v>
      </c>
      <c r="T210" s="20" t="s">
        <v>36</v>
      </c>
      <c r="U210" s="23">
        <v>4</v>
      </c>
      <c r="V210" s="75" t="str" cm="1">
        <f t="array" ref="V210">_xlfn.IFS(U210=0,"Not Rated",U210&gt;=4.5,"High Rating",U210&gt;=3,"Medium Rating",U210&lt;3,"Low Rating")</f>
        <v>Medium Rating</v>
      </c>
    </row>
    <row r="211" spans="1:22" x14ac:dyDescent="0.3">
      <c r="A211" s="24" t="s">
        <v>424</v>
      </c>
      <c r="B211" s="25">
        <v>46121</v>
      </c>
      <c r="C211" s="26" t="s">
        <v>29</v>
      </c>
      <c r="D211" s="26" t="s">
        <v>30</v>
      </c>
      <c r="E211" s="26" t="s">
        <v>31</v>
      </c>
      <c r="F211" s="26" t="s">
        <v>32</v>
      </c>
      <c r="G211" s="26" t="s">
        <v>33</v>
      </c>
      <c r="H211" s="26" t="s">
        <v>41</v>
      </c>
      <c r="I211" s="26" t="s">
        <v>42</v>
      </c>
      <c r="J211" s="27">
        <v>2</v>
      </c>
      <c r="K211" s="28">
        <v>4651.7299999999996</v>
      </c>
      <c r="L211" s="27">
        <v>10</v>
      </c>
      <c r="M211" s="22">
        <f t="shared" si="3"/>
        <v>930.34599999999989</v>
      </c>
      <c r="N211" s="28">
        <v>0</v>
      </c>
      <c r="O211" s="28">
        <v>5800</v>
      </c>
      <c r="P211" s="28">
        <v>0</v>
      </c>
      <c r="Q211" s="72" t="str">
        <f>IF(retail_store_performance_dashbo!$P211&gt;0,"Profit",IF(retail_store_performance_dashbo!$P211&lt;0,"Loss","Break Even"))</f>
        <v>Break Even</v>
      </c>
      <c r="R211" s="62" t="str" cm="1">
        <f t="array" ref="R211">_xlfn.IFS(L211=0,"No Discount",L211&lt;=5,"Low Discount",L211&lt;=10,"Medium Discount",L211&lt;=20,"High Discount")</f>
        <v>Medium Discount</v>
      </c>
      <c r="S211" s="26" t="s">
        <v>26</v>
      </c>
      <c r="T211" s="26" t="s">
        <v>83</v>
      </c>
      <c r="U211" s="29">
        <v>0</v>
      </c>
      <c r="V211" s="75" t="str" cm="1">
        <f t="array" ref="V211">_xlfn.IFS(U211=0,"Not Rated",U211&gt;=4.5,"High Rating",U211&gt;=3,"Medium Rating",U211&lt;3,"Low Rating")</f>
        <v>Not Rated</v>
      </c>
    </row>
    <row r="212" spans="1:22" x14ac:dyDescent="0.3">
      <c r="A212" s="18" t="s">
        <v>399</v>
      </c>
      <c r="B212" s="19">
        <v>46122</v>
      </c>
      <c r="C212" s="20" t="s">
        <v>97</v>
      </c>
      <c r="D212" s="20" t="s">
        <v>98</v>
      </c>
      <c r="E212" s="20" t="s">
        <v>99</v>
      </c>
      <c r="F212" s="20" t="s">
        <v>54</v>
      </c>
      <c r="G212" s="20" t="s">
        <v>100</v>
      </c>
      <c r="H212" s="20" t="s">
        <v>58</v>
      </c>
      <c r="I212" s="20" t="s">
        <v>82</v>
      </c>
      <c r="J212" s="21">
        <v>5</v>
      </c>
      <c r="K212" s="22">
        <v>2390.9299999999998</v>
      </c>
      <c r="L212" s="21">
        <v>15</v>
      </c>
      <c r="M212" s="22">
        <f t="shared" si="3"/>
        <v>1793.1975</v>
      </c>
      <c r="N212" s="22">
        <v>10161.450000000001</v>
      </c>
      <c r="O212" s="22">
        <v>7750</v>
      </c>
      <c r="P212" s="22">
        <v>2411.4499999999998</v>
      </c>
      <c r="Q212" s="62" t="str">
        <f>IF(retail_store_performance_dashbo!$P212&gt;0,"Profit",IF(retail_store_performance_dashbo!$P212&lt;0,"Loss","Break Even"))</f>
        <v>Profit</v>
      </c>
      <c r="R212" s="62" t="str" cm="1">
        <f t="array" ref="R212">_xlfn.IFS(L212=0,"No Discount",L212&lt;=5,"Low Discount",L212&lt;=10,"Medium Discount",L212&lt;=20,"High Discount")</f>
        <v>High Discount</v>
      </c>
      <c r="S212" s="20" t="s">
        <v>43</v>
      </c>
      <c r="T212" s="20" t="s">
        <v>36</v>
      </c>
      <c r="U212" s="23">
        <v>3.9</v>
      </c>
      <c r="V212" s="75" t="str" cm="1">
        <f t="array" ref="V212">_xlfn.IFS(U212=0,"Not Rated",U212&gt;=4.5,"High Rating",U212&gt;=3,"Medium Rating",U212&lt;3,"Low Rating")</f>
        <v>Medium Rating</v>
      </c>
    </row>
    <row r="213" spans="1:22" x14ac:dyDescent="0.3">
      <c r="A213" s="24" t="s">
        <v>452</v>
      </c>
      <c r="B213" s="25">
        <v>46123</v>
      </c>
      <c r="C213" s="26" t="s">
        <v>51</v>
      </c>
      <c r="D213" s="26" t="s">
        <v>52</v>
      </c>
      <c r="E213" s="26" t="s">
        <v>53</v>
      </c>
      <c r="F213" s="26" t="s">
        <v>54</v>
      </c>
      <c r="G213" s="26" t="s">
        <v>55</v>
      </c>
      <c r="H213" s="26" t="s">
        <v>58</v>
      </c>
      <c r="I213" s="26" t="s">
        <v>72</v>
      </c>
      <c r="J213" s="27">
        <v>4</v>
      </c>
      <c r="K213" s="28">
        <v>3902.2</v>
      </c>
      <c r="L213" s="27">
        <v>0</v>
      </c>
      <c r="M213" s="22">
        <f t="shared" si="3"/>
        <v>0</v>
      </c>
      <c r="N213" s="28">
        <v>15608.8</v>
      </c>
      <c r="O213" s="28">
        <v>10800</v>
      </c>
      <c r="P213" s="28">
        <v>4808.8</v>
      </c>
      <c r="Q213" s="72" t="str">
        <f>IF(retail_store_performance_dashbo!$P213&gt;0,"Profit",IF(retail_store_performance_dashbo!$P213&lt;0,"Loss","Break Even"))</f>
        <v>Profit</v>
      </c>
      <c r="R213" s="62" t="str" cm="1">
        <f t="array" ref="R213">_xlfn.IFS(L213=0,"No Discount",L213&lt;=5,"Low Discount",L213&lt;=10,"Medium Discount",L213&lt;=20,"High Discount")</f>
        <v>No Discount</v>
      </c>
      <c r="S213" s="26" t="s">
        <v>26</v>
      </c>
      <c r="T213" s="26" t="s">
        <v>36</v>
      </c>
      <c r="U213" s="29">
        <v>4.7</v>
      </c>
      <c r="V213" s="75" t="str" cm="1">
        <f t="array" ref="V213">_xlfn.IFS(U213=0,"Not Rated",U213&gt;=4.5,"High Rating",U213&gt;=3,"Medium Rating",U213&lt;3,"Low Rating")</f>
        <v>High Rating</v>
      </c>
    </row>
    <row r="214" spans="1:22" x14ac:dyDescent="0.3">
      <c r="A214" s="18" t="s">
        <v>541</v>
      </c>
      <c r="B214" s="19">
        <v>46123</v>
      </c>
      <c r="C214" s="20" t="s">
        <v>29</v>
      </c>
      <c r="D214" s="20" t="s">
        <v>30</v>
      </c>
      <c r="E214" s="20" t="s">
        <v>31</v>
      </c>
      <c r="F214" s="20" t="s">
        <v>32</v>
      </c>
      <c r="G214" s="20" t="s">
        <v>33</v>
      </c>
      <c r="H214" s="20" t="s">
        <v>58</v>
      </c>
      <c r="I214" s="20" t="s">
        <v>69</v>
      </c>
      <c r="J214" s="21">
        <v>4</v>
      </c>
      <c r="K214" s="22">
        <v>691.6</v>
      </c>
      <c r="L214" s="21">
        <v>5</v>
      </c>
      <c r="M214" s="22">
        <f t="shared" si="3"/>
        <v>138.32</v>
      </c>
      <c r="N214" s="22">
        <v>2628.08</v>
      </c>
      <c r="O214" s="22">
        <v>1600</v>
      </c>
      <c r="P214" s="22">
        <v>1028.08</v>
      </c>
      <c r="Q214" s="62" t="str">
        <f>IF(retail_store_performance_dashbo!$P214&gt;0,"Profit",IF(retail_store_performance_dashbo!$P214&lt;0,"Loss","Break Even"))</f>
        <v>Profit</v>
      </c>
      <c r="R214" s="62" t="str" cm="1">
        <f t="array" ref="R214">_xlfn.IFS(L214=0,"No Discount",L214&lt;=5,"Low Discount",L214&lt;=10,"Medium Discount",L214&lt;=20,"High Discount")</f>
        <v>Low Discount</v>
      </c>
      <c r="S214" s="20" t="s">
        <v>26</v>
      </c>
      <c r="T214" s="20" t="s">
        <v>36</v>
      </c>
      <c r="U214" s="23">
        <v>4.8</v>
      </c>
      <c r="V214" s="75" t="str" cm="1">
        <f t="array" ref="V214">_xlfn.IFS(U214=0,"Not Rated",U214&gt;=4.5,"High Rating",U214&gt;=3,"Medium Rating",U214&lt;3,"Low Rating")</f>
        <v>High Rating</v>
      </c>
    </row>
    <row r="215" spans="1:22" x14ac:dyDescent="0.3">
      <c r="A215" s="24" t="s">
        <v>422</v>
      </c>
      <c r="B215" s="25">
        <v>46125</v>
      </c>
      <c r="C215" s="26" t="s">
        <v>38</v>
      </c>
      <c r="D215" s="26" t="s">
        <v>39</v>
      </c>
      <c r="E215" s="26" t="s">
        <v>39</v>
      </c>
      <c r="F215" s="26" t="s">
        <v>32</v>
      </c>
      <c r="G215" s="26" t="s">
        <v>40</v>
      </c>
      <c r="H215" s="26" t="s">
        <v>24</v>
      </c>
      <c r="I215" s="26" t="s">
        <v>25</v>
      </c>
      <c r="J215" s="27">
        <v>5</v>
      </c>
      <c r="K215" s="28">
        <v>335.85</v>
      </c>
      <c r="L215" s="27">
        <v>10</v>
      </c>
      <c r="M215" s="22">
        <f t="shared" si="3"/>
        <v>167.92500000000001</v>
      </c>
      <c r="N215" s="28">
        <v>-1511.33</v>
      </c>
      <c r="O215" s="28">
        <v>1100</v>
      </c>
      <c r="P215" s="28">
        <v>-2611.33</v>
      </c>
      <c r="Q215" s="72" t="str">
        <f>IF(retail_store_performance_dashbo!$P215&gt;0,"Profit",IF(retail_store_performance_dashbo!$P215&lt;0,"Loss","Break Even"))</f>
        <v>Loss</v>
      </c>
      <c r="R215" s="62" t="str" cm="1">
        <f t="array" ref="R215">_xlfn.IFS(L215=0,"No Discount",L215&lt;=5,"Low Discount",L215&lt;=10,"Medium Discount",L215&lt;=20,"High Discount")</f>
        <v>Medium Discount</v>
      </c>
      <c r="S215" s="26" t="s">
        <v>43</v>
      </c>
      <c r="T215" s="26" t="s">
        <v>27</v>
      </c>
      <c r="U215" s="29">
        <v>3.4</v>
      </c>
      <c r="V215" s="75" t="str" cm="1">
        <f t="array" ref="V215">_xlfn.IFS(U215=0,"Not Rated",U215&gt;=4.5,"High Rating",U215&gt;=3,"Medium Rating",U215&lt;3,"Low Rating")</f>
        <v>Medium Rating</v>
      </c>
    </row>
    <row r="216" spans="1:22" x14ac:dyDescent="0.3">
      <c r="A216" s="18" t="s">
        <v>480</v>
      </c>
      <c r="B216" s="19">
        <v>46125</v>
      </c>
      <c r="C216" s="20" t="s">
        <v>61</v>
      </c>
      <c r="D216" s="20" t="s">
        <v>62</v>
      </c>
      <c r="E216" s="20" t="s">
        <v>63</v>
      </c>
      <c r="F216" s="20" t="s">
        <v>22</v>
      </c>
      <c r="G216" s="20" t="s">
        <v>64</v>
      </c>
      <c r="H216" s="20" t="s">
        <v>24</v>
      </c>
      <c r="I216" s="20" t="s">
        <v>75</v>
      </c>
      <c r="J216" s="21">
        <v>1</v>
      </c>
      <c r="K216" s="22">
        <v>429.78</v>
      </c>
      <c r="L216" s="21">
        <v>10</v>
      </c>
      <c r="M216" s="22">
        <f t="shared" si="3"/>
        <v>42.977999999999994</v>
      </c>
      <c r="N216" s="22">
        <v>386.8</v>
      </c>
      <c r="O216" s="22">
        <v>290</v>
      </c>
      <c r="P216" s="22">
        <v>96.8</v>
      </c>
      <c r="Q216" s="62" t="str">
        <f>IF(retail_store_performance_dashbo!$P216&gt;0,"Profit",IF(retail_store_performance_dashbo!$P216&lt;0,"Loss","Break Even"))</f>
        <v>Profit</v>
      </c>
      <c r="R216" s="62" t="str" cm="1">
        <f t="array" ref="R216">_xlfn.IFS(L216=0,"No Discount",L216&lt;=5,"Low Discount",L216&lt;=10,"Medium Discount",L216&lt;=20,"High Discount")</f>
        <v>Medium Discount</v>
      </c>
      <c r="S216" s="20" t="s">
        <v>70</v>
      </c>
      <c r="T216" s="20" t="s">
        <v>36</v>
      </c>
      <c r="U216" s="23">
        <v>3.5</v>
      </c>
      <c r="V216" s="75" t="str" cm="1">
        <f t="array" ref="V216">_xlfn.IFS(U216=0,"Not Rated",U216&gt;=4.5,"High Rating",U216&gt;=3,"Medium Rating",U216&lt;3,"Low Rating")</f>
        <v>Medium Rating</v>
      </c>
    </row>
    <row r="217" spans="1:22" x14ac:dyDescent="0.3">
      <c r="A217" s="24" t="s">
        <v>261</v>
      </c>
      <c r="B217" s="25">
        <v>46126</v>
      </c>
      <c r="C217" s="26" t="s">
        <v>51</v>
      </c>
      <c r="D217" s="26" t="s">
        <v>52</v>
      </c>
      <c r="E217" s="26" t="s">
        <v>53</v>
      </c>
      <c r="F217" s="26" t="s">
        <v>54</v>
      </c>
      <c r="G217" s="26" t="s">
        <v>55</v>
      </c>
      <c r="H217" s="26" t="s">
        <v>24</v>
      </c>
      <c r="I217" s="26" t="s">
        <v>75</v>
      </c>
      <c r="J217" s="27">
        <v>1</v>
      </c>
      <c r="K217" s="28">
        <v>430.63</v>
      </c>
      <c r="L217" s="27">
        <v>0</v>
      </c>
      <c r="M217" s="22">
        <f t="shared" si="3"/>
        <v>0</v>
      </c>
      <c r="N217" s="28">
        <v>0</v>
      </c>
      <c r="O217" s="28">
        <v>290</v>
      </c>
      <c r="P217" s="28">
        <v>0</v>
      </c>
      <c r="Q217" s="72" t="str">
        <f>IF(retail_store_performance_dashbo!$P217&gt;0,"Profit",IF(retail_store_performance_dashbo!$P217&lt;0,"Loss","Break Even"))</f>
        <v>Break Even</v>
      </c>
      <c r="R217" s="62" t="str" cm="1">
        <f t="array" ref="R217">_xlfn.IFS(L217=0,"No Discount",L217&lt;=5,"Low Discount",L217&lt;=10,"Medium Discount",L217&lt;=20,"High Discount")</f>
        <v>No Discount</v>
      </c>
      <c r="S217" s="26" t="s">
        <v>67</v>
      </c>
      <c r="T217" s="26" t="s">
        <v>83</v>
      </c>
      <c r="U217" s="29">
        <v>0</v>
      </c>
      <c r="V217" s="75" t="str" cm="1">
        <f t="array" ref="V217">_xlfn.IFS(U217=0,"Not Rated",U217&gt;=4.5,"High Rating",U217&gt;=3,"Medium Rating",U217&lt;3,"Low Rating")</f>
        <v>Not Rated</v>
      </c>
    </row>
    <row r="218" spans="1:22" x14ac:dyDescent="0.3">
      <c r="A218" s="18" t="s">
        <v>346</v>
      </c>
      <c r="B218" s="19">
        <v>46126</v>
      </c>
      <c r="C218" s="20" t="s">
        <v>38</v>
      </c>
      <c r="D218" s="20" t="s">
        <v>39</v>
      </c>
      <c r="E218" s="20" t="s">
        <v>39</v>
      </c>
      <c r="F218" s="20" t="s">
        <v>32</v>
      </c>
      <c r="G218" s="20" t="s">
        <v>40</v>
      </c>
      <c r="H218" s="20" t="s">
        <v>58</v>
      </c>
      <c r="I218" s="20" t="s">
        <v>69</v>
      </c>
      <c r="J218" s="21">
        <v>5</v>
      </c>
      <c r="K218" s="22">
        <v>697.09</v>
      </c>
      <c r="L218" s="21">
        <v>10</v>
      </c>
      <c r="M218" s="22">
        <f t="shared" si="3"/>
        <v>348.54500000000002</v>
      </c>
      <c r="N218" s="22">
        <v>3136.91</v>
      </c>
      <c r="O218" s="22">
        <v>2000</v>
      </c>
      <c r="P218" s="22">
        <v>1136.9100000000001</v>
      </c>
      <c r="Q218" s="62" t="str">
        <f>IF(retail_store_performance_dashbo!$P218&gt;0,"Profit",IF(retail_store_performance_dashbo!$P218&lt;0,"Loss","Break Even"))</f>
        <v>Profit</v>
      </c>
      <c r="R218" s="62" t="str" cm="1">
        <f t="array" ref="R218">_xlfn.IFS(L218=0,"No Discount",L218&lt;=5,"Low Discount",L218&lt;=10,"Medium Discount",L218&lt;=20,"High Discount")</f>
        <v>Medium Discount</v>
      </c>
      <c r="S218" s="20" t="s">
        <v>43</v>
      </c>
      <c r="T218" s="20" t="s">
        <v>36</v>
      </c>
      <c r="U218" s="23">
        <v>3.7</v>
      </c>
      <c r="V218" s="75" t="str" cm="1">
        <f t="array" ref="V218">_xlfn.IFS(U218=0,"Not Rated",U218&gt;=4.5,"High Rating",U218&gt;=3,"Medium Rating",U218&lt;3,"Low Rating")</f>
        <v>Medium Rating</v>
      </c>
    </row>
    <row r="219" spans="1:22" x14ac:dyDescent="0.3">
      <c r="A219" s="24" t="s">
        <v>306</v>
      </c>
      <c r="B219" s="25">
        <v>46127</v>
      </c>
      <c r="C219" s="26" t="s">
        <v>19</v>
      </c>
      <c r="D219" s="26" t="s">
        <v>20</v>
      </c>
      <c r="E219" s="26" t="s">
        <v>21</v>
      </c>
      <c r="F219" s="26" t="s">
        <v>22</v>
      </c>
      <c r="G219" s="26" t="s">
        <v>23</v>
      </c>
      <c r="H219" s="26" t="s">
        <v>45</v>
      </c>
      <c r="I219" s="26" t="s">
        <v>124</v>
      </c>
      <c r="J219" s="27">
        <v>6</v>
      </c>
      <c r="K219" s="28">
        <v>4372.9799999999996</v>
      </c>
      <c r="L219" s="27">
        <v>20</v>
      </c>
      <c r="M219" s="22">
        <f t="shared" si="3"/>
        <v>5247.576</v>
      </c>
      <c r="N219" s="28">
        <v>20990.3</v>
      </c>
      <c r="O219" s="28">
        <v>15600</v>
      </c>
      <c r="P219" s="28">
        <v>5390.3</v>
      </c>
      <c r="Q219" s="72" t="str">
        <f>IF(retail_store_performance_dashbo!$P219&gt;0,"Profit",IF(retail_store_performance_dashbo!$P219&lt;0,"Loss","Break Even"))</f>
        <v>Profit</v>
      </c>
      <c r="R219" s="62" t="str" cm="1">
        <f t="array" ref="R219">_xlfn.IFS(L219=0,"No Discount",L219&lt;=5,"Low Discount",L219&lt;=10,"Medium Discount",L219&lt;=20,"High Discount")</f>
        <v>High Discount</v>
      </c>
      <c r="S219" s="26" t="s">
        <v>26</v>
      </c>
      <c r="T219" s="26" t="s">
        <v>36</v>
      </c>
      <c r="U219" s="29">
        <v>3</v>
      </c>
      <c r="V219" s="75" t="str" cm="1">
        <f t="array" ref="V219">_xlfn.IFS(U219=0,"Not Rated",U219&gt;=4.5,"High Rating",U219&gt;=3,"Medium Rating",U219&lt;3,"Low Rating")</f>
        <v>Medium Rating</v>
      </c>
    </row>
    <row r="220" spans="1:22" x14ac:dyDescent="0.3">
      <c r="A220" s="18" t="s">
        <v>350</v>
      </c>
      <c r="B220" s="19">
        <v>46127</v>
      </c>
      <c r="C220" s="20" t="s">
        <v>77</v>
      </c>
      <c r="D220" s="20" t="s">
        <v>78</v>
      </c>
      <c r="E220" s="20" t="s">
        <v>79</v>
      </c>
      <c r="F220" s="20" t="s">
        <v>80</v>
      </c>
      <c r="G220" s="20" t="s">
        <v>81</v>
      </c>
      <c r="H220" s="20" t="s">
        <v>41</v>
      </c>
      <c r="I220" s="20" t="s">
        <v>92</v>
      </c>
      <c r="J220" s="21">
        <v>2</v>
      </c>
      <c r="K220" s="22">
        <v>53013.95</v>
      </c>
      <c r="L220" s="21">
        <v>0</v>
      </c>
      <c r="M220" s="22">
        <f t="shared" si="3"/>
        <v>0</v>
      </c>
      <c r="N220" s="22">
        <v>106027.9</v>
      </c>
      <c r="O220" s="22">
        <v>84000</v>
      </c>
      <c r="P220" s="22">
        <v>22027.9</v>
      </c>
      <c r="Q220" s="62" t="str">
        <f>IF(retail_store_performance_dashbo!$P220&gt;0,"Profit",IF(retail_store_performance_dashbo!$P220&lt;0,"Loss","Break Even"))</f>
        <v>Profit</v>
      </c>
      <c r="R220" s="62" t="str" cm="1">
        <f t="array" ref="R220">_xlfn.IFS(L220=0,"No Discount",L220&lt;=5,"Low Discount",L220&lt;=10,"Medium Discount",L220&lt;=20,"High Discount")</f>
        <v>No Discount</v>
      </c>
      <c r="S220" s="20" t="s">
        <v>35</v>
      </c>
      <c r="T220" s="20" t="s">
        <v>36</v>
      </c>
      <c r="U220" s="23">
        <v>3.9</v>
      </c>
      <c r="V220" s="75" t="str" cm="1">
        <f t="array" ref="V220">_xlfn.IFS(U220=0,"Not Rated",U220&gt;=4.5,"High Rating",U220&gt;=3,"Medium Rating",U220&lt;3,"Low Rating")</f>
        <v>Medium Rating</v>
      </c>
    </row>
    <row r="221" spans="1:22" x14ac:dyDescent="0.3">
      <c r="A221" s="24" t="s">
        <v>383</v>
      </c>
      <c r="B221" s="25">
        <v>46127</v>
      </c>
      <c r="C221" s="26" t="s">
        <v>51</v>
      </c>
      <c r="D221" s="26" t="s">
        <v>52</v>
      </c>
      <c r="E221" s="26" t="s">
        <v>53</v>
      </c>
      <c r="F221" s="26" t="s">
        <v>54</v>
      </c>
      <c r="G221" s="26" t="s">
        <v>55</v>
      </c>
      <c r="H221" s="26" t="s">
        <v>48</v>
      </c>
      <c r="I221" s="26" t="s">
        <v>56</v>
      </c>
      <c r="J221" s="27">
        <v>5</v>
      </c>
      <c r="K221" s="28">
        <v>101.77</v>
      </c>
      <c r="L221" s="27">
        <v>0</v>
      </c>
      <c r="M221" s="22">
        <f t="shared" si="3"/>
        <v>0</v>
      </c>
      <c r="N221" s="28">
        <v>508.85</v>
      </c>
      <c r="O221" s="28">
        <v>360</v>
      </c>
      <c r="P221" s="28">
        <v>148.85</v>
      </c>
      <c r="Q221" s="72" t="str">
        <f>IF(retail_store_performance_dashbo!$P221&gt;0,"Profit",IF(retail_store_performance_dashbo!$P221&lt;0,"Loss","Break Even"))</f>
        <v>Profit</v>
      </c>
      <c r="R221" s="62" t="str" cm="1">
        <f t="array" ref="R221">_xlfn.IFS(L221=0,"No Discount",L221&lt;=5,"Low Discount",L221&lt;=10,"Medium Discount",L221&lt;=20,"High Discount")</f>
        <v>No Discount</v>
      </c>
      <c r="S221" s="26" t="s">
        <v>70</v>
      </c>
      <c r="T221" s="26" t="s">
        <v>36</v>
      </c>
      <c r="U221" s="29">
        <v>4</v>
      </c>
      <c r="V221" s="75" t="str" cm="1">
        <f t="array" ref="V221">_xlfn.IFS(U221=0,"Not Rated",U221&gt;=4.5,"High Rating",U221&gt;=3,"Medium Rating",U221&lt;3,"Low Rating")</f>
        <v>Medium Rating</v>
      </c>
    </row>
    <row r="222" spans="1:22" x14ac:dyDescent="0.3">
      <c r="A222" s="18" t="s">
        <v>408</v>
      </c>
      <c r="B222" s="19">
        <v>46127</v>
      </c>
      <c r="C222" s="20" t="s">
        <v>38</v>
      </c>
      <c r="D222" s="20" t="s">
        <v>39</v>
      </c>
      <c r="E222" s="20" t="s">
        <v>39</v>
      </c>
      <c r="F222" s="20" t="s">
        <v>32</v>
      </c>
      <c r="G222" s="20" t="s">
        <v>40</v>
      </c>
      <c r="H222" s="20" t="s">
        <v>45</v>
      </c>
      <c r="I222" s="20" t="s">
        <v>124</v>
      </c>
      <c r="J222" s="21">
        <v>4</v>
      </c>
      <c r="K222" s="22">
        <v>4131.59</v>
      </c>
      <c r="L222" s="21">
        <v>10</v>
      </c>
      <c r="M222" s="22">
        <f t="shared" si="3"/>
        <v>1652.636</v>
      </c>
      <c r="N222" s="22">
        <v>0</v>
      </c>
      <c r="O222" s="22">
        <v>10400</v>
      </c>
      <c r="P222" s="22">
        <v>0</v>
      </c>
      <c r="Q222" s="62" t="str">
        <f>IF(retail_store_performance_dashbo!$P222&gt;0,"Profit",IF(retail_store_performance_dashbo!$P222&lt;0,"Loss","Break Even"))</f>
        <v>Break Even</v>
      </c>
      <c r="R222" s="62" t="str" cm="1">
        <f t="array" ref="R222">_xlfn.IFS(L222=0,"No Discount",L222&lt;=5,"Low Discount",L222&lt;=10,"Medium Discount",L222&lt;=20,"High Discount")</f>
        <v>Medium Discount</v>
      </c>
      <c r="S222" s="20" t="s">
        <v>26</v>
      </c>
      <c r="T222" s="20" t="s">
        <v>83</v>
      </c>
      <c r="U222" s="23">
        <v>0</v>
      </c>
      <c r="V222" s="75" t="str" cm="1">
        <f t="array" ref="V222">_xlfn.IFS(U222=0,"Not Rated",U222&gt;=4.5,"High Rating",U222&gt;=3,"Medium Rating",U222&lt;3,"Low Rating")</f>
        <v>Not Rated</v>
      </c>
    </row>
    <row r="223" spans="1:22" x14ac:dyDescent="0.3">
      <c r="A223" s="24" t="s">
        <v>463</v>
      </c>
      <c r="B223" s="25">
        <v>46127</v>
      </c>
      <c r="C223" s="26" t="s">
        <v>61</v>
      </c>
      <c r="D223" s="26" t="s">
        <v>62</v>
      </c>
      <c r="E223" s="26" t="s">
        <v>63</v>
      </c>
      <c r="F223" s="26" t="s">
        <v>22</v>
      </c>
      <c r="G223" s="26" t="s">
        <v>64</v>
      </c>
      <c r="H223" s="26" t="s">
        <v>58</v>
      </c>
      <c r="I223" s="26" t="s">
        <v>72</v>
      </c>
      <c r="J223" s="27">
        <v>3</v>
      </c>
      <c r="K223" s="28">
        <v>3612.5</v>
      </c>
      <c r="L223" s="27">
        <v>5</v>
      </c>
      <c r="M223" s="22">
        <f t="shared" si="3"/>
        <v>541.875</v>
      </c>
      <c r="N223" s="28">
        <v>10295.620000000001</v>
      </c>
      <c r="O223" s="28">
        <v>8100</v>
      </c>
      <c r="P223" s="28">
        <v>2195.62</v>
      </c>
      <c r="Q223" s="72" t="str">
        <f>IF(retail_store_performance_dashbo!$P223&gt;0,"Profit",IF(retail_store_performance_dashbo!$P223&lt;0,"Loss","Break Even"))</f>
        <v>Profit</v>
      </c>
      <c r="R223" s="62" t="str" cm="1">
        <f t="array" ref="R223">_xlfn.IFS(L223=0,"No Discount",L223&lt;=5,"Low Discount",L223&lt;=10,"Medium Discount",L223&lt;=20,"High Discount")</f>
        <v>Low Discount</v>
      </c>
      <c r="S223" s="26" t="s">
        <v>43</v>
      </c>
      <c r="T223" s="26" t="s">
        <v>36</v>
      </c>
      <c r="U223" s="29">
        <v>4.8</v>
      </c>
      <c r="V223" s="75" t="str" cm="1">
        <f t="array" ref="V223">_xlfn.IFS(U223=0,"Not Rated",U223&gt;=4.5,"High Rating",U223&gt;=3,"Medium Rating",U223&lt;3,"Low Rating")</f>
        <v>High Rating</v>
      </c>
    </row>
    <row r="224" spans="1:22" x14ac:dyDescent="0.3">
      <c r="A224" s="18" t="s">
        <v>190</v>
      </c>
      <c r="B224" s="19">
        <v>46128</v>
      </c>
      <c r="C224" s="20" t="s">
        <v>29</v>
      </c>
      <c r="D224" s="20" t="s">
        <v>30</v>
      </c>
      <c r="E224" s="20" t="s">
        <v>31</v>
      </c>
      <c r="F224" s="20" t="s">
        <v>32</v>
      </c>
      <c r="G224" s="20" t="s">
        <v>33</v>
      </c>
      <c r="H224" s="20" t="s">
        <v>24</v>
      </c>
      <c r="I224" s="20" t="s">
        <v>75</v>
      </c>
      <c r="J224" s="21">
        <v>1</v>
      </c>
      <c r="K224" s="22">
        <v>447.35</v>
      </c>
      <c r="L224" s="21">
        <v>5</v>
      </c>
      <c r="M224" s="22">
        <f t="shared" si="3"/>
        <v>22.3675</v>
      </c>
      <c r="N224" s="22">
        <v>424.98</v>
      </c>
      <c r="O224" s="22">
        <v>290</v>
      </c>
      <c r="P224" s="22">
        <v>134.97999999999999</v>
      </c>
      <c r="Q224" s="62" t="str">
        <f>IF(retail_store_performance_dashbo!$P224&gt;0,"Profit",IF(retail_store_performance_dashbo!$P224&lt;0,"Loss","Break Even"))</f>
        <v>Profit</v>
      </c>
      <c r="R224" s="62" t="str" cm="1">
        <f t="array" ref="R224">_xlfn.IFS(L224=0,"No Discount",L224&lt;=5,"Low Discount",L224&lt;=10,"Medium Discount",L224&lt;=20,"High Discount")</f>
        <v>Low Discount</v>
      </c>
      <c r="S224" s="20" t="s">
        <v>35</v>
      </c>
      <c r="T224" s="20" t="s">
        <v>36</v>
      </c>
      <c r="U224" s="23">
        <v>3.3</v>
      </c>
      <c r="V224" s="75" t="str" cm="1">
        <f t="array" ref="V224">_xlfn.IFS(U224=0,"Not Rated",U224&gt;=4.5,"High Rating",U224&gt;=3,"Medium Rating",U224&lt;3,"Low Rating")</f>
        <v>Medium Rating</v>
      </c>
    </row>
    <row r="225" spans="1:22" x14ac:dyDescent="0.3">
      <c r="A225" s="24" t="s">
        <v>496</v>
      </c>
      <c r="B225" s="25">
        <v>46128</v>
      </c>
      <c r="C225" s="26" t="s">
        <v>19</v>
      </c>
      <c r="D225" s="26" t="s">
        <v>20</v>
      </c>
      <c r="E225" s="26" t="s">
        <v>21</v>
      </c>
      <c r="F225" s="26" t="s">
        <v>22</v>
      </c>
      <c r="G225" s="26" t="s">
        <v>23</v>
      </c>
      <c r="H225" s="26" t="s">
        <v>24</v>
      </c>
      <c r="I225" s="26" t="s">
        <v>66</v>
      </c>
      <c r="J225" s="27">
        <v>5</v>
      </c>
      <c r="K225" s="28">
        <v>566.9</v>
      </c>
      <c r="L225" s="27">
        <v>10</v>
      </c>
      <c r="M225" s="22">
        <f t="shared" si="3"/>
        <v>283.45</v>
      </c>
      <c r="N225" s="28">
        <v>0</v>
      </c>
      <c r="O225" s="28">
        <v>1700</v>
      </c>
      <c r="P225" s="28">
        <v>0</v>
      </c>
      <c r="Q225" s="72" t="str">
        <f>IF(retail_store_performance_dashbo!$P225&gt;0,"Profit",IF(retail_store_performance_dashbo!$P225&lt;0,"Loss","Break Even"))</f>
        <v>Break Even</v>
      </c>
      <c r="R225" s="62" t="str" cm="1">
        <f t="array" ref="R225">_xlfn.IFS(L225=0,"No Discount",L225&lt;=5,"Low Discount",L225&lt;=10,"Medium Discount",L225&lt;=20,"High Discount")</f>
        <v>Medium Discount</v>
      </c>
      <c r="S225" s="26" t="s">
        <v>70</v>
      </c>
      <c r="T225" s="26" t="s">
        <v>83</v>
      </c>
      <c r="U225" s="29">
        <v>0</v>
      </c>
      <c r="V225" s="75" t="str" cm="1">
        <f t="array" ref="V225">_xlfn.IFS(U225=0,"Not Rated",U225&gt;=4.5,"High Rating",U225&gt;=3,"Medium Rating",U225&lt;3,"Low Rating")</f>
        <v>Not Rated</v>
      </c>
    </row>
    <row r="226" spans="1:22" x14ac:dyDescent="0.3">
      <c r="A226" s="18" t="s">
        <v>212</v>
      </c>
      <c r="B226" s="19">
        <v>46129</v>
      </c>
      <c r="C226" s="20" t="s">
        <v>146</v>
      </c>
      <c r="D226" s="20" t="s">
        <v>147</v>
      </c>
      <c r="E226" s="20" t="s">
        <v>148</v>
      </c>
      <c r="F226" s="20" t="s">
        <v>22</v>
      </c>
      <c r="G226" s="20" t="s">
        <v>149</v>
      </c>
      <c r="H226" s="20" t="s">
        <v>48</v>
      </c>
      <c r="I226" s="20" t="s">
        <v>49</v>
      </c>
      <c r="J226" s="21">
        <v>3</v>
      </c>
      <c r="K226" s="22">
        <v>291.13</v>
      </c>
      <c r="L226" s="21">
        <v>0</v>
      </c>
      <c r="M226" s="22">
        <f t="shared" si="3"/>
        <v>0</v>
      </c>
      <c r="N226" s="22">
        <v>-873.39</v>
      </c>
      <c r="O226" s="22">
        <v>630</v>
      </c>
      <c r="P226" s="22">
        <v>-1503.39</v>
      </c>
      <c r="Q226" s="62" t="str">
        <f>IF(retail_store_performance_dashbo!$P226&gt;0,"Profit",IF(retail_store_performance_dashbo!$P226&lt;0,"Loss","Break Even"))</f>
        <v>Loss</v>
      </c>
      <c r="R226" s="62" t="str" cm="1">
        <f t="array" ref="R226">_xlfn.IFS(L226=0,"No Discount",L226&lt;=5,"Low Discount",L226&lt;=10,"Medium Discount",L226&lt;=20,"High Discount")</f>
        <v>No Discount</v>
      </c>
      <c r="S226" s="20" t="s">
        <v>35</v>
      </c>
      <c r="T226" s="20" t="s">
        <v>27</v>
      </c>
      <c r="U226" s="23">
        <v>4.5</v>
      </c>
      <c r="V226" s="75" t="str" cm="1">
        <f t="array" ref="V226">_xlfn.IFS(U226=0,"Not Rated",U226&gt;=4.5,"High Rating",U226&gt;=3,"Medium Rating",U226&lt;3,"Low Rating")</f>
        <v>High Rating</v>
      </c>
    </row>
    <row r="227" spans="1:22" x14ac:dyDescent="0.3">
      <c r="A227" s="24" t="s">
        <v>275</v>
      </c>
      <c r="B227" s="25">
        <v>46129</v>
      </c>
      <c r="C227" s="26" t="s">
        <v>97</v>
      </c>
      <c r="D227" s="26" t="s">
        <v>98</v>
      </c>
      <c r="E227" s="26" t="s">
        <v>99</v>
      </c>
      <c r="F227" s="26" t="s">
        <v>54</v>
      </c>
      <c r="G227" s="26" t="s">
        <v>100</v>
      </c>
      <c r="H227" s="26" t="s">
        <v>48</v>
      </c>
      <c r="I227" s="26" t="s">
        <v>49</v>
      </c>
      <c r="J227" s="27">
        <v>5</v>
      </c>
      <c r="K227" s="28">
        <v>278.99</v>
      </c>
      <c r="L227" s="27">
        <v>10</v>
      </c>
      <c r="M227" s="22">
        <f t="shared" si="3"/>
        <v>139.495</v>
      </c>
      <c r="N227" s="28">
        <v>1255.46</v>
      </c>
      <c r="O227" s="28">
        <v>1050</v>
      </c>
      <c r="P227" s="28">
        <v>205.46</v>
      </c>
      <c r="Q227" s="72" t="str">
        <f>IF(retail_store_performance_dashbo!$P227&gt;0,"Profit",IF(retail_store_performance_dashbo!$P227&lt;0,"Loss","Break Even"))</f>
        <v>Profit</v>
      </c>
      <c r="R227" s="62" t="str" cm="1">
        <f t="array" ref="R227">_xlfn.IFS(L227=0,"No Discount",L227&lt;=5,"Low Discount",L227&lt;=10,"Medium Discount",L227&lt;=20,"High Discount")</f>
        <v>Medium Discount</v>
      </c>
      <c r="S227" s="26" t="s">
        <v>70</v>
      </c>
      <c r="T227" s="26" t="s">
        <v>36</v>
      </c>
      <c r="U227" s="29">
        <v>3.2</v>
      </c>
      <c r="V227" s="75" t="str" cm="1">
        <f t="array" ref="V227">_xlfn.IFS(U227=0,"Not Rated",U227&gt;=4.5,"High Rating",U227&gt;=3,"Medium Rating",U227&lt;3,"Low Rating")</f>
        <v>Medium Rating</v>
      </c>
    </row>
    <row r="228" spans="1:22" x14ac:dyDescent="0.3">
      <c r="A228" s="18" t="s">
        <v>315</v>
      </c>
      <c r="B228" s="19">
        <v>46129</v>
      </c>
      <c r="C228" s="20" t="s">
        <v>97</v>
      </c>
      <c r="D228" s="20" t="s">
        <v>98</v>
      </c>
      <c r="E228" s="20" t="s">
        <v>99</v>
      </c>
      <c r="F228" s="20" t="s">
        <v>54</v>
      </c>
      <c r="G228" s="20" t="s">
        <v>100</v>
      </c>
      <c r="H228" s="20" t="s">
        <v>45</v>
      </c>
      <c r="I228" s="20" t="s">
        <v>101</v>
      </c>
      <c r="J228" s="21">
        <v>4</v>
      </c>
      <c r="K228" s="22">
        <v>1860.35</v>
      </c>
      <c r="L228" s="21">
        <v>5</v>
      </c>
      <c r="M228" s="22">
        <f t="shared" si="3"/>
        <v>372.07</v>
      </c>
      <c r="N228" s="22">
        <v>7069.33</v>
      </c>
      <c r="O228" s="22">
        <v>4200</v>
      </c>
      <c r="P228" s="22">
        <v>2869.33</v>
      </c>
      <c r="Q228" s="62" t="str">
        <f>IF(retail_store_performance_dashbo!$P228&gt;0,"Profit",IF(retail_store_performance_dashbo!$P228&lt;0,"Loss","Break Even"))</f>
        <v>Profit</v>
      </c>
      <c r="R228" s="62" t="str" cm="1">
        <f t="array" ref="R228">_xlfn.IFS(L228=0,"No Discount",L228&lt;=5,"Low Discount",L228&lt;=10,"Medium Discount",L228&lt;=20,"High Discount")</f>
        <v>Low Discount</v>
      </c>
      <c r="S228" s="20" t="s">
        <v>67</v>
      </c>
      <c r="T228" s="20" t="s">
        <v>36</v>
      </c>
      <c r="U228" s="23">
        <v>4.9000000000000004</v>
      </c>
      <c r="V228" s="75" t="str" cm="1">
        <f t="array" ref="V228">_xlfn.IFS(U228=0,"Not Rated",U228&gt;=4.5,"High Rating",U228&gt;=3,"Medium Rating",U228&lt;3,"Low Rating")</f>
        <v>High Rating</v>
      </c>
    </row>
    <row r="229" spans="1:22" x14ac:dyDescent="0.3">
      <c r="A229" s="24" t="s">
        <v>208</v>
      </c>
      <c r="B229" s="25">
        <v>46130</v>
      </c>
      <c r="C229" s="26" t="s">
        <v>29</v>
      </c>
      <c r="D229" s="26" t="s">
        <v>30</v>
      </c>
      <c r="E229" s="26" t="s">
        <v>31</v>
      </c>
      <c r="F229" s="26" t="s">
        <v>32</v>
      </c>
      <c r="G229" s="26" t="s">
        <v>33</v>
      </c>
      <c r="H229" s="26" t="s">
        <v>58</v>
      </c>
      <c r="I229" s="26" t="s">
        <v>72</v>
      </c>
      <c r="J229" s="27">
        <v>5</v>
      </c>
      <c r="K229" s="28">
        <v>3949.07</v>
      </c>
      <c r="L229" s="27">
        <v>10</v>
      </c>
      <c r="M229" s="22">
        <f t="shared" si="3"/>
        <v>1974.5350000000003</v>
      </c>
      <c r="N229" s="28">
        <v>17770.82</v>
      </c>
      <c r="O229" s="28">
        <v>13500</v>
      </c>
      <c r="P229" s="28">
        <v>4270.82</v>
      </c>
      <c r="Q229" s="72" t="str">
        <f>IF(retail_store_performance_dashbo!$P229&gt;0,"Profit",IF(retail_store_performance_dashbo!$P229&lt;0,"Loss","Break Even"))</f>
        <v>Profit</v>
      </c>
      <c r="R229" s="62" t="str" cm="1">
        <f t="array" ref="R229">_xlfn.IFS(L229=0,"No Discount",L229&lt;=5,"Low Discount",L229&lt;=10,"Medium Discount",L229&lt;=20,"High Discount")</f>
        <v>Medium Discount</v>
      </c>
      <c r="S229" s="26" t="s">
        <v>26</v>
      </c>
      <c r="T229" s="26" t="s">
        <v>36</v>
      </c>
      <c r="U229" s="29">
        <v>4.5999999999999996</v>
      </c>
      <c r="V229" s="75" t="str" cm="1">
        <f t="array" ref="V229">_xlfn.IFS(U229=0,"Not Rated",U229&gt;=4.5,"High Rating",U229&gt;=3,"Medium Rating",U229&lt;3,"Low Rating")</f>
        <v>High Rating</v>
      </c>
    </row>
    <row r="230" spans="1:22" x14ac:dyDescent="0.3">
      <c r="A230" s="18" t="s">
        <v>269</v>
      </c>
      <c r="B230" s="19">
        <v>46130</v>
      </c>
      <c r="C230" s="20" t="s">
        <v>61</v>
      </c>
      <c r="D230" s="20" t="s">
        <v>62</v>
      </c>
      <c r="E230" s="20" t="s">
        <v>63</v>
      </c>
      <c r="F230" s="20" t="s">
        <v>22</v>
      </c>
      <c r="G230" s="20" t="s">
        <v>64</v>
      </c>
      <c r="H230" s="20" t="s">
        <v>41</v>
      </c>
      <c r="I230" s="20" t="s">
        <v>92</v>
      </c>
      <c r="J230" s="21">
        <v>5</v>
      </c>
      <c r="K230" s="22">
        <v>56124.37</v>
      </c>
      <c r="L230" s="21">
        <v>5</v>
      </c>
      <c r="M230" s="22">
        <f t="shared" si="3"/>
        <v>14031.092500000002</v>
      </c>
      <c r="N230" s="22">
        <v>266590.76</v>
      </c>
      <c r="O230" s="22">
        <v>210000</v>
      </c>
      <c r="P230" s="22">
        <v>56590.76</v>
      </c>
      <c r="Q230" s="62" t="str">
        <f>IF(retail_store_performance_dashbo!$P230&gt;0,"Profit",IF(retail_store_performance_dashbo!$P230&lt;0,"Loss","Break Even"))</f>
        <v>Profit</v>
      </c>
      <c r="R230" s="62" t="str" cm="1">
        <f t="array" ref="R230">_xlfn.IFS(L230=0,"No Discount",L230&lt;=5,"Low Discount",L230&lt;=10,"Medium Discount",L230&lt;=20,"High Discount")</f>
        <v>Low Discount</v>
      </c>
      <c r="S230" s="20" t="s">
        <v>43</v>
      </c>
      <c r="T230" s="20" t="s">
        <v>36</v>
      </c>
      <c r="U230" s="23">
        <v>4.7</v>
      </c>
      <c r="V230" s="75" t="str" cm="1">
        <f t="array" ref="V230">_xlfn.IFS(U230=0,"Not Rated",U230&gt;=4.5,"High Rating",U230&gt;=3,"Medium Rating",U230&lt;3,"Low Rating")</f>
        <v>High Rating</v>
      </c>
    </row>
    <row r="231" spans="1:22" x14ac:dyDescent="0.3">
      <c r="A231" s="24" t="s">
        <v>572</v>
      </c>
      <c r="B231" s="25">
        <v>46130</v>
      </c>
      <c r="C231" s="26" t="s">
        <v>146</v>
      </c>
      <c r="D231" s="26" t="s">
        <v>147</v>
      </c>
      <c r="E231" s="26" t="s">
        <v>148</v>
      </c>
      <c r="F231" s="26" t="s">
        <v>22</v>
      </c>
      <c r="G231" s="26" t="s">
        <v>149</v>
      </c>
      <c r="H231" s="26" t="s">
        <v>41</v>
      </c>
      <c r="I231" s="26" t="s">
        <v>106</v>
      </c>
      <c r="J231" s="27">
        <v>2</v>
      </c>
      <c r="K231" s="28">
        <v>21984.79</v>
      </c>
      <c r="L231" s="27">
        <v>10</v>
      </c>
      <c r="M231" s="22">
        <f t="shared" si="3"/>
        <v>4396.9580000000005</v>
      </c>
      <c r="N231" s="28">
        <v>39572.620000000003</v>
      </c>
      <c r="O231" s="28">
        <v>32000</v>
      </c>
      <c r="P231" s="28">
        <v>7572.62</v>
      </c>
      <c r="Q231" s="72" t="str">
        <f>IF(retail_store_performance_dashbo!$P231&gt;0,"Profit",IF(retail_store_performance_dashbo!$P231&lt;0,"Loss","Break Even"))</f>
        <v>Profit</v>
      </c>
      <c r="R231" s="62" t="str" cm="1">
        <f t="array" ref="R231">_xlfn.IFS(L231=0,"No Discount",L231&lt;=5,"Low Discount",L231&lt;=10,"Medium Discount",L231&lt;=20,"High Discount")</f>
        <v>Medium Discount</v>
      </c>
      <c r="S231" s="26" t="s">
        <v>67</v>
      </c>
      <c r="T231" s="26" t="s">
        <v>36</v>
      </c>
      <c r="U231" s="29">
        <v>4.0999999999999996</v>
      </c>
      <c r="V231" s="75" t="str" cm="1">
        <f t="array" ref="V231">_xlfn.IFS(U231=0,"Not Rated",U231&gt;=4.5,"High Rating",U231&gt;=3,"Medium Rating",U231&lt;3,"Low Rating")</f>
        <v>Medium Rating</v>
      </c>
    </row>
    <row r="232" spans="1:22" x14ac:dyDescent="0.3">
      <c r="A232" s="18" t="s">
        <v>548</v>
      </c>
      <c r="B232" s="19">
        <v>46131</v>
      </c>
      <c r="C232" s="20" t="s">
        <v>29</v>
      </c>
      <c r="D232" s="20" t="s">
        <v>30</v>
      </c>
      <c r="E232" s="20" t="s">
        <v>31</v>
      </c>
      <c r="F232" s="20" t="s">
        <v>32</v>
      </c>
      <c r="G232" s="20" t="s">
        <v>33</v>
      </c>
      <c r="H232" s="20" t="s">
        <v>24</v>
      </c>
      <c r="I232" s="20" t="s">
        <v>66</v>
      </c>
      <c r="J232" s="21">
        <v>3</v>
      </c>
      <c r="K232" s="22">
        <v>527.09</v>
      </c>
      <c r="L232" s="21">
        <v>10</v>
      </c>
      <c r="M232" s="22">
        <f t="shared" si="3"/>
        <v>158.12700000000001</v>
      </c>
      <c r="N232" s="22">
        <v>1423.14</v>
      </c>
      <c r="O232" s="22">
        <v>1020</v>
      </c>
      <c r="P232" s="22">
        <v>403.14</v>
      </c>
      <c r="Q232" s="62" t="str">
        <f>IF(retail_store_performance_dashbo!$P232&gt;0,"Profit",IF(retail_store_performance_dashbo!$P232&lt;0,"Loss","Break Even"))</f>
        <v>Profit</v>
      </c>
      <c r="R232" s="62" t="str" cm="1">
        <f t="array" ref="R232">_xlfn.IFS(L232=0,"No Discount",L232&lt;=5,"Low Discount",L232&lt;=10,"Medium Discount",L232&lt;=20,"High Discount")</f>
        <v>Medium Discount</v>
      </c>
      <c r="S232" s="20" t="s">
        <v>35</v>
      </c>
      <c r="T232" s="20" t="s">
        <v>36</v>
      </c>
      <c r="U232" s="23">
        <v>4.5</v>
      </c>
      <c r="V232" s="75" t="str" cm="1">
        <f t="array" ref="V232">_xlfn.IFS(U232=0,"Not Rated",U232&gt;=4.5,"High Rating",U232&gt;=3,"Medium Rating",U232&lt;3,"Low Rating")</f>
        <v>High Rating</v>
      </c>
    </row>
    <row r="233" spans="1:22" x14ac:dyDescent="0.3">
      <c r="A233" s="24" t="s">
        <v>220</v>
      </c>
      <c r="B233" s="25">
        <v>46132</v>
      </c>
      <c r="C233" s="26" t="s">
        <v>77</v>
      </c>
      <c r="D233" s="26" t="s">
        <v>78</v>
      </c>
      <c r="E233" s="26" t="s">
        <v>79</v>
      </c>
      <c r="F233" s="26" t="s">
        <v>80</v>
      </c>
      <c r="G233" s="26" t="s">
        <v>81</v>
      </c>
      <c r="H233" s="26" t="s">
        <v>45</v>
      </c>
      <c r="I233" s="26" t="s">
        <v>124</v>
      </c>
      <c r="J233" s="27">
        <v>6</v>
      </c>
      <c r="K233" s="28">
        <v>4336.41</v>
      </c>
      <c r="L233" s="27">
        <v>5</v>
      </c>
      <c r="M233" s="22">
        <f t="shared" si="3"/>
        <v>1300.9229999999998</v>
      </c>
      <c r="N233" s="28">
        <v>24717.54</v>
      </c>
      <c r="O233" s="28">
        <v>15600</v>
      </c>
      <c r="P233" s="28">
        <v>9117.5400000000009</v>
      </c>
      <c r="Q233" s="72" t="str">
        <f>IF(retail_store_performance_dashbo!$P233&gt;0,"Profit",IF(retail_store_performance_dashbo!$P233&lt;0,"Loss","Break Even"))</f>
        <v>Profit</v>
      </c>
      <c r="R233" s="62" t="str" cm="1">
        <f t="array" ref="R233">_xlfn.IFS(L233=0,"No Discount",L233&lt;=5,"Low Discount",L233&lt;=10,"Medium Discount",L233&lt;=20,"High Discount")</f>
        <v>Low Discount</v>
      </c>
      <c r="S233" s="26" t="s">
        <v>26</v>
      </c>
      <c r="T233" s="26" t="s">
        <v>36</v>
      </c>
      <c r="U233" s="29">
        <v>3.5</v>
      </c>
      <c r="V233" s="75" t="str" cm="1">
        <f t="array" ref="V233">_xlfn.IFS(U233=0,"Not Rated",U233&gt;=4.5,"High Rating",U233&gt;=3,"Medium Rating",U233&lt;3,"Low Rating")</f>
        <v>Medium Rating</v>
      </c>
    </row>
    <row r="234" spans="1:22" x14ac:dyDescent="0.3">
      <c r="A234" s="18" t="s">
        <v>451</v>
      </c>
      <c r="B234" s="19">
        <v>46132</v>
      </c>
      <c r="C234" s="20" t="s">
        <v>77</v>
      </c>
      <c r="D234" s="20" t="s">
        <v>78</v>
      </c>
      <c r="E234" s="20" t="s">
        <v>79</v>
      </c>
      <c r="F234" s="20" t="s">
        <v>80</v>
      </c>
      <c r="G234" s="20" t="s">
        <v>81</v>
      </c>
      <c r="H234" s="20" t="s">
        <v>48</v>
      </c>
      <c r="I234" s="20" t="s">
        <v>109</v>
      </c>
      <c r="J234" s="21">
        <v>1</v>
      </c>
      <c r="K234" s="22">
        <v>658.53</v>
      </c>
      <c r="L234" s="21">
        <v>0</v>
      </c>
      <c r="M234" s="22">
        <f t="shared" si="3"/>
        <v>0</v>
      </c>
      <c r="N234" s="22">
        <v>658.53</v>
      </c>
      <c r="O234" s="22">
        <v>510</v>
      </c>
      <c r="P234" s="22">
        <v>148.53</v>
      </c>
      <c r="Q234" s="62" t="str">
        <f>IF(retail_store_performance_dashbo!$P234&gt;0,"Profit",IF(retail_store_performance_dashbo!$P234&lt;0,"Loss","Break Even"))</f>
        <v>Profit</v>
      </c>
      <c r="R234" s="62" t="str" cm="1">
        <f t="array" ref="R234">_xlfn.IFS(L234=0,"No Discount",L234&lt;=5,"Low Discount",L234&lt;=10,"Medium Discount",L234&lt;=20,"High Discount")</f>
        <v>No Discount</v>
      </c>
      <c r="S234" s="20" t="s">
        <v>35</v>
      </c>
      <c r="T234" s="20" t="s">
        <v>36</v>
      </c>
      <c r="U234" s="23">
        <v>4.2</v>
      </c>
      <c r="V234" s="75" t="str" cm="1">
        <f t="array" ref="V234">_xlfn.IFS(U234=0,"Not Rated",U234&gt;=4.5,"High Rating",U234&gt;=3,"Medium Rating",U234&lt;3,"Low Rating")</f>
        <v>Medium Rating</v>
      </c>
    </row>
    <row r="235" spans="1:22" x14ac:dyDescent="0.3">
      <c r="A235" s="24" t="s">
        <v>248</v>
      </c>
      <c r="B235" s="25">
        <v>46133</v>
      </c>
      <c r="C235" s="26" t="s">
        <v>61</v>
      </c>
      <c r="D235" s="26" t="s">
        <v>62</v>
      </c>
      <c r="E235" s="26" t="s">
        <v>63</v>
      </c>
      <c r="F235" s="26" t="s">
        <v>22</v>
      </c>
      <c r="G235" s="26" t="s">
        <v>64</v>
      </c>
      <c r="H235" s="26" t="s">
        <v>41</v>
      </c>
      <c r="I235" s="26" t="s">
        <v>92</v>
      </c>
      <c r="J235" s="27">
        <v>6</v>
      </c>
      <c r="K235" s="28">
        <v>55541.19</v>
      </c>
      <c r="L235" s="27">
        <v>20</v>
      </c>
      <c r="M235" s="22">
        <f t="shared" si="3"/>
        <v>66649.428000000014</v>
      </c>
      <c r="N235" s="28">
        <v>266597.71000000002</v>
      </c>
      <c r="O235" s="28">
        <v>252000</v>
      </c>
      <c r="P235" s="28">
        <v>14597.71</v>
      </c>
      <c r="Q235" s="72" t="str">
        <f>IF(retail_store_performance_dashbo!$P235&gt;0,"Profit",IF(retail_store_performance_dashbo!$P235&lt;0,"Loss","Break Even"))</f>
        <v>Profit</v>
      </c>
      <c r="R235" s="62" t="str" cm="1">
        <f t="array" ref="R235">_xlfn.IFS(L235=0,"No Discount",L235&lt;=5,"Low Discount",L235&lt;=10,"Medium Discount",L235&lt;=20,"High Discount")</f>
        <v>High Discount</v>
      </c>
      <c r="S235" s="26" t="s">
        <v>43</v>
      </c>
      <c r="T235" s="26" t="s">
        <v>36</v>
      </c>
      <c r="U235" s="29">
        <v>4.3</v>
      </c>
      <c r="V235" s="75" t="str" cm="1">
        <f t="array" ref="V235">_xlfn.IFS(U235=0,"Not Rated",U235&gt;=4.5,"High Rating",U235&gt;=3,"Medium Rating",U235&lt;3,"Low Rating")</f>
        <v>Medium Rating</v>
      </c>
    </row>
    <row r="236" spans="1:22" x14ac:dyDescent="0.3">
      <c r="A236" s="18" t="s">
        <v>252</v>
      </c>
      <c r="B236" s="19">
        <v>46133</v>
      </c>
      <c r="C236" s="20" t="s">
        <v>146</v>
      </c>
      <c r="D236" s="20" t="s">
        <v>147</v>
      </c>
      <c r="E236" s="20" t="s">
        <v>148</v>
      </c>
      <c r="F236" s="20" t="s">
        <v>22</v>
      </c>
      <c r="G236" s="20" t="s">
        <v>149</v>
      </c>
      <c r="H236" s="20" t="s">
        <v>41</v>
      </c>
      <c r="I236" s="20" t="s">
        <v>135</v>
      </c>
      <c r="J236" s="21">
        <v>4</v>
      </c>
      <c r="K236" s="22">
        <v>1777.66</v>
      </c>
      <c r="L236" s="21">
        <v>10</v>
      </c>
      <c r="M236" s="22">
        <f t="shared" si="3"/>
        <v>711.06400000000008</v>
      </c>
      <c r="N236" s="22">
        <v>-6399.58</v>
      </c>
      <c r="O236" s="22">
        <v>4400</v>
      </c>
      <c r="P236" s="22">
        <v>-10799.58</v>
      </c>
      <c r="Q236" s="62" t="str">
        <f>IF(retail_store_performance_dashbo!$P236&gt;0,"Profit",IF(retail_store_performance_dashbo!$P236&lt;0,"Loss","Break Even"))</f>
        <v>Loss</v>
      </c>
      <c r="R236" s="62" t="str" cm="1">
        <f t="array" ref="R236">_xlfn.IFS(L236=0,"No Discount",L236&lt;=5,"Low Discount",L236&lt;=10,"Medium Discount",L236&lt;=20,"High Discount")</f>
        <v>Medium Discount</v>
      </c>
      <c r="S236" s="20" t="s">
        <v>26</v>
      </c>
      <c r="T236" s="20" t="s">
        <v>27</v>
      </c>
      <c r="U236" s="23">
        <v>4.2</v>
      </c>
      <c r="V236" s="75" t="str" cm="1">
        <f t="array" ref="V236">_xlfn.IFS(U236=0,"Not Rated",U236&gt;=4.5,"High Rating",U236&gt;=3,"Medium Rating",U236&lt;3,"Low Rating")</f>
        <v>Medium Rating</v>
      </c>
    </row>
    <row r="237" spans="1:22" x14ac:dyDescent="0.3">
      <c r="A237" s="24" t="s">
        <v>321</v>
      </c>
      <c r="B237" s="25">
        <v>46133</v>
      </c>
      <c r="C237" s="26" t="s">
        <v>19</v>
      </c>
      <c r="D237" s="26" t="s">
        <v>20</v>
      </c>
      <c r="E237" s="26" t="s">
        <v>21</v>
      </c>
      <c r="F237" s="26" t="s">
        <v>22</v>
      </c>
      <c r="G237" s="26" t="s">
        <v>23</v>
      </c>
      <c r="H237" s="26" t="s">
        <v>24</v>
      </c>
      <c r="I237" s="26" t="s">
        <v>75</v>
      </c>
      <c r="J237" s="27">
        <v>3</v>
      </c>
      <c r="K237" s="28">
        <v>442.31</v>
      </c>
      <c r="L237" s="27">
        <v>0</v>
      </c>
      <c r="M237" s="22">
        <f t="shared" si="3"/>
        <v>0</v>
      </c>
      <c r="N237" s="28">
        <v>1326.93</v>
      </c>
      <c r="O237" s="28">
        <v>870</v>
      </c>
      <c r="P237" s="28">
        <v>456.93</v>
      </c>
      <c r="Q237" s="72" t="str">
        <f>IF(retail_store_performance_dashbo!$P237&gt;0,"Profit",IF(retail_store_performance_dashbo!$P237&lt;0,"Loss","Break Even"))</f>
        <v>Profit</v>
      </c>
      <c r="R237" s="62" t="str" cm="1">
        <f t="array" ref="R237">_xlfn.IFS(L237=0,"No Discount",L237&lt;=5,"Low Discount",L237&lt;=10,"Medium Discount",L237&lt;=20,"High Discount")</f>
        <v>No Discount</v>
      </c>
      <c r="S237" s="26" t="s">
        <v>26</v>
      </c>
      <c r="T237" s="26" t="s">
        <v>36</v>
      </c>
      <c r="U237" s="29">
        <v>4.3</v>
      </c>
      <c r="V237" s="75" t="str" cm="1">
        <f t="array" ref="V237">_xlfn.IFS(U237=0,"Not Rated",U237&gt;=4.5,"High Rating",U237&gt;=3,"Medium Rating",U237&lt;3,"Low Rating")</f>
        <v>Medium Rating</v>
      </c>
    </row>
    <row r="238" spans="1:22" x14ac:dyDescent="0.3">
      <c r="A238" s="18" t="s">
        <v>565</v>
      </c>
      <c r="B238" s="19">
        <v>46133</v>
      </c>
      <c r="C238" s="20" t="s">
        <v>29</v>
      </c>
      <c r="D238" s="20" t="s">
        <v>30</v>
      </c>
      <c r="E238" s="20" t="s">
        <v>31</v>
      </c>
      <c r="F238" s="20" t="s">
        <v>32</v>
      </c>
      <c r="G238" s="20" t="s">
        <v>33</v>
      </c>
      <c r="H238" s="20" t="s">
        <v>45</v>
      </c>
      <c r="I238" s="20" t="s">
        <v>101</v>
      </c>
      <c r="J238" s="21">
        <v>6</v>
      </c>
      <c r="K238" s="22">
        <v>1882.96</v>
      </c>
      <c r="L238" s="21">
        <v>0</v>
      </c>
      <c r="M238" s="22">
        <f t="shared" si="3"/>
        <v>0</v>
      </c>
      <c r="N238" s="22">
        <v>11297.76</v>
      </c>
      <c r="O238" s="22">
        <v>6300</v>
      </c>
      <c r="P238" s="22">
        <v>4997.76</v>
      </c>
      <c r="Q238" s="62" t="str">
        <f>IF(retail_store_performance_dashbo!$P238&gt;0,"Profit",IF(retail_store_performance_dashbo!$P238&lt;0,"Loss","Break Even"))</f>
        <v>Profit</v>
      </c>
      <c r="R238" s="62" t="str" cm="1">
        <f t="array" ref="R238">_xlfn.IFS(L238=0,"No Discount",L238&lt;=5,"Low Discount",L238&lt;=10,"Medium Discount",L238&lt;=20,"High Discount")</f>
        <v>No Discount</v>
      </c>
      <c r="S238" s="20" t="s">
        <v>35</v>
      </c>
      <c r="T238" s="20" t="s">
        <v>36</v>
      </c>
      <c r="U238" s="23">
        <v>3.3</v>
      </c>
      <c r="V238" s="75" t="str" cm="1">
        <f t="array" ref="V238">_xlfn.IFS(U238=0,"Not Rated",U238&gt;=4.5,"High Rating",U238&gt;=3,"Medium Rating",U238&lt;3,"Low Rating")</f>
        <v>Medium Rating</v>
      </c>
    </row>
    <row r="239" spans="1:22" x14ac:dyDescent="0.3">
      <c r="A239" s="24" t="s">
        <v>579</v>
      </c>
      <c r="B239" s="25">
        <v>46133</v>
      </c>
      <c r="C239" s="26" t="s">
        <v>97</v>
      </c>
      <c r="D239" s="26" t="s">
        <v>98</v>
      </c>
      <c r="E239" s="26" t="s">
        <v>99</v>
      </c>
      <c r="F239" s="26" t="s">
        <v>54</v>
      </c>
      <c r="G239" s="26" t="s">
        <v>100</v>
      </c>
      <c r="H239" s="26" t="s">
        <v>58</v>
      </c>
      <c r="I239" s="26" t="s">
        <v>82</v>
      </c>
      <c r="J239" s="27">
        <v>5</v>
      </c>
      <c r="K239" s="28">
        <v>2444.44</v>
      </c>
      <c r="L239" s="27">
        <v>10</v>
      </c>
      <c r="M239" s="22">
        <f t="shared" si="3"/>
        <v>1222.22</v>
      </c>
      <c r="N239" s="28">
        <v>10999.98</v>
      </c>
      <c r="O239" s="28">
        <v>7750</v>
      </c>
      <c r="P239" s="28">
        <v>3249.98</v>
      </c>
      <c r="Q239" s="72" t="str">
        <f>IF(retail_store_performance_dashbo!$P239&gt;0,"Profit",IF(retail_store_performance_dashbo!$P239&lt;0,"Loss","Break Even"))</f>
        <v>Profit</v>
      </c>
      <c r="R239" s="62" t="str" cm="1">
        <f t="array" ref="R239">_xlfn.IFS(L239=0,"No Discount",L239&lt;=5,"Low Discount",L239&lt;=10,"Medium Discount",L239&lt;=20,"High Discount")</f>
        <v>Medium Discount</v>
      </c>
      <c r="S239" s="26" t="s">
        <v>35</v>
      </c>
      <c r="T239" s="26" t="s">
        <v>36</v>
      </c>
      <c r="U239" s="29">
        <v>3.1</v>
      </c>
      <c r="V239" s="75" t="str" cm="1">
        <f t="array" ref="V239">_xlfn.IFS(U239=0,"Not Rated",U239&gt;=4.5,"High Rating",U239&gt;=3,"Medium Rating",U239&lt;3,"Low Rating")</f>
        <v>Medium Rating</v>
      </c>
    </row>
    <row r="240" spans="1:22" x14ac:dyDescent="0.3">
      <c r="A240" s="18" t="s">
        <v>287</v>
      </c>
      <c r="B240" s="19">
        <v>46134</v>
      </c>
      <c r="C240" s="20" t="s">
        <v>146</v>
      </c>
      <c r="D240" s="20" t="s">
        <v>147</v>
      </c>
      <c r="E240" s="20" t="s">
        <v>148</v>
      </c>
      <c r="F240" s="20" t="s">
        <v>22</v>
      </c>
      <c r="G240" s="20" t="s">
        <v>149</v>
      </c>
      <c r="H240" s="20" t="s">
        <v>58</v>
      </c>
      <c r="I240" s="20" t="s">
        <v>69</v>
      </c>
      <c r="J240" s="21">
        <v>1</v>
      </c>
      <c r="K240" s="22">
        <v>715.72</v>
      </c>
      <c r="L240" s="21">
        <v>20</v>
      </c>
      <c r="M240" s="22">
        <f t="shared" si="3"/>
        <v>143.14400000000001</v>
      </c>
      <c r="N240" s="22">
        <v>572.58000000000004</v>
      </c>
      <c r="O240" s="22">
        <v>400</v>
      </c>
      <c r="P240" s="22">
        <v>172.58</v>
      </c>
      <c r="Q240" s="62" t="str">
        <f>IF(retail_store_performance_dashbo!$P240&gt;0,"Profit",IF(retail_store_performance_dashbo!$P240&lt;0,"Loss","Break Even"))</f>
        <v>Profit</v>
      </c>
      <c r="R240" s="62" t="str" cm="1">
        <f t="array" ref="R240">_xlfn.IFS(L240=0,"No Discount",L240&lt;=5,"Low Discount",L240&lt;=10,"Medium Discount",L240&lt;=20,"High Discount")</f>
        <v>High Discount</v>
      </c>
      <c r="S240" s="20" t="s">
        <v>35</v>
      </c>
      <c r="T240" s="20" t="s">
        <v>36</v>
      </c>
      <c r="U240" s="23">
        <v>4.3</v>
      </c>
      <c r="V240" s="75" t="str" cm="1">
        <f t="array" ref="V240">_xlfn.IFS(U240=0,"Not Rated",U240&gt;=4.5,"High Rating",U240&gt;=3,"Medium Rating",U240&lt;3,"Low Rating")</f>
        <v>Medium Rating</v>
      </c>
    </row>
    <row r="241" spans="1:22" x14ac:dyDescent="0.3">
      <c r="A241" s="24" t="s">
        <v>76</v>
      </c>
      <c r="B241" s="25">
        <v>46135</v>
      </c>
      <c r="C241" s="26" t="s">
        <v>77</v>
      </c>
      <c r="D241" s="26" t="s">
        <v>78</v>
      </c>
      <c r="E241" s="26" t="s">
        <v>79</v>
      </c>
      <c r="F241" s="26" t="s">
        <v>80</v>
      </c>
      <c r="G241" s="26" t="s">
        <v>81</v>
      </c>
      <c r="H241" s="26" t="s">
        <v>58</v>
      </c>
      <c r="I241" s="26" t="s">
        <v>82</v>
      </c>
      <c r="J241" s="27">
        <v>2</v>
      </c>
      <c r="K241" s="28">
        <v>2512.14</v>
      </c>
      <c r="L241" s="27">
        <v>20</v>
      </c>
      <c r="M241" s="22">
        <f t="shared" si="3"/>
        <v>1004.8559999999999</v>
      </c>
      <c r="N241" s="28">
        <v>0</v>
      </c>
      <c r="O241" s="28">
        <v>3100</v>
      </c>
      <c r="P241" s="28">
        <v>0</v>
      </c>
      <c r="Q241" s="72" t="str">
        <f>IF(retail_store_performance_dashbo!$P241&gt;0,"Profit",IF(retail_store_performance_dashbo!$P241&lt;0,"Loss","Break Even"))</f>
        <v>Break Even</v>
      </c>
      <c r="R241" s="62" t="str" cm="1">
        <f t="array" ref="R241">_xlfn.IFS(L241=0,"No Discount",L241&lt;=5,"Low Discount",L241&lt;=10,"Medium Discount",L241&lt;=20,"High Discount")</f>
        <v>High Discount</v>
      </c>
      <c r="S241" s="26" t="s">
        <v>70</v>
      </c>
      <c r="T241" s="26" t="s">
        <v>83</v>
      </c>
      <c r="U241" s="29">
        <v>0</v>
      </c>
      <c r="V241" s="75" t="str" cm="1">
        <f t="array" ref="V241">_xlfn.IFS(U241=0,"Not Rated",U241&gt;=4.5,"High Rating",U241&gt;=3,"Medium Rating",U241&lt;3,"Low Rating")</f>
        <v>Not Rated</v>
      </c>
    </row>
    <row r="242" spans="1:22" x14ac:dyDescent="0.3">
      <c r="A242" s="18" t="s">
        <v>198</v>
      </c>
      <c r="B242" s="19">
        <v>46136</v>
      </c>
      <c r="C242" s="20" t="s">
        <v>77</v>
      </c>
      <c r="D242" s="20" t="s">
        <v>78</v>
      </c>
      <c r="E242" s="20" t="s">
        <v>79</v>
      </c>
      <c r="F242" s="20" t="s">
        <v>80</v>
      </c>
      <c r="G242" s="20" t="s">
        <v>81</v>
      </c>
      <c r="H242" s="20" t="s">
        <v>45</v>
      </c>
      <c r="I242" s="20" t="s">
        <v>88</v>
      </c>
      <c r="J242" s="21">
        <v>4</v>
      </c>
      <c r="K242" s="22">
        <v>912.02</v>
      </c>
      <c r="L242" s="21">
        <v>0</v>
      </c>
      <c r="M242" s="22">
        <f t="shared" si="3"/>
        <v>0</v>
      </c>
      <c r="N242" s="22">
        <v>3648.08</v>
      </c>
      <c r="O242" s="22">
        <v>2000</v>
      </c>
      <c r="P242" s="22">
        <v>1648.08</v>
      </c>
      <c r="Q242" s="62" t="str">
        <f>IF(retail_store_performance_dashbo!$P242&gt;0,"Profit",IF(retail_store_performance_dashbo!$P242&lt;0,"Loss","Break Even"))</f>
        <v>Profit</v>
      </c>
      <c r="R242" s="62" t="str" cm="1">
        <f t="array" ref="R242">_xlfn.IFS(L242=0,"No Discount",L242&lt;=5,"Low Discount",L242&lt;=10,"Medium Discount",L242&lt;=20,"High Discount")</f>
        <v>No Discount</v>
      </c>
      <c r="S242" s="20" t="s">
        <v>35</v>
      </c>
      <c r="T242" s="20" t="s">
        <v>36</v>
      </c>
      <c r="U242" s="23">
        <v>3.2</v>
      </c>
      <c r="V242" s="75" t="str" cm="1">
        <f t="array" ref="V242">_xlfn.IFS(U242=0,"Not Rated",U242&gt;=4.5,"High Rating",U242&gt;=3,"Medium Rating",U242&lt;3,"Low Rating")</f>
        <v>Medium Rating</v>
      </c>
    </row>
    <row r="243" spans="1:22" x14ac:dyDescent="0.3">
      <c r="A243" s="24" t="s">
        <v>222</v>
      </c>
      <c r="B243" s="25">
        <v>46136</v>
      </c>
      <c r="C243" s="26" t="s">
        <v>97</v>
      </c>
      <c r="D243" s="26" t="s">
        <v>98</v>
      </c>
      <c r="E243" s="26" t="s">
        <v>99</v>
      </c>
      <c r="F243" s="26" t="s">
        <v>54</v>
      </c>
      <c r="G243" s="26" t="s">
        <v>100</v>
      </c>
      <c r="H243" s="26" t="s">
        <v>48</v>
      </c>
      <c r="I243" s="26" t="s">
        <v>56</v>
      </c>
      <c r="J243" s="27">
        <v>5</v>
      </c>
      <c r="K243" s="28">
        <v>98.09</v>
      </c>
      <c r="L243" s="27">
        <v>10</v>
      </c>
      <c r="M243" s="22">
        <f t="shared" si="3"/>
        <v>49.045000000000002</v>
      </c>
      <c r="N243" s="28">
        <v>441.41</v>
      </c>
      <c r="O243" s="28">
        <v>360</v>
      </c>
      <c r="P243" s="28">
        <v>81.41</v>
      </c>
      <c r="Q243" s="72" t="str">
        <f>IF(retail_store_performance_dashbo!$P243&gt;0,"Profit",IF(retail_store_performance_dashbo!$P243&lt;0,"Loss","Break Even"))</f>
        <v>Profit</v>
      </c>
      <c r="R243" s="62" t="str" cm="1">
        <f t="array" ref="R243">_xlfn.IFS(L243=0,"No Discount",L243&lt;=5,"Low Discount",L243&lt;=10,"Medium Discount",L243&lt;=20,"High Discount")</f>
        <v>Medium Discount</v>
      </c>
      <c r="S243" s="26" t="s">
        <v>35</v>
      </c>
      <c r="T243" s="26" t="s">
        <v>36</v>
      </c>
      <c r="U243" s="29">
        <v>4.7</v>
      </c>
      <c r="V243" s="75" t="str" cm="1">
        <f t="array" ref="V243">_xlfn.IFS(U243=0,"Not Rated",U243&gt;=4.5,"High Rating",U243&gt;=3,"Medium Rating",U243&lt;3,"Low Rating")</f>
        <v>High Rating</v>
      </c>
    </row>
    <row r="244" spans="1:22" x14ac:dyDescent="0.3">
      <c r="A244" s="18" t="s">
        <v>263</v>
      </c>
      <c r="B244" s="19">
        <v>46136</v>
      </c>
      <c r="C244" s="20" t="s">
        <v>51</v>
      </c>
      <c r="D244" s="20" t="s">
        <v>52</v>
      </c>
      <c r="E244" s="20" t="s">
        <v>53</v>
      </c>
      <c r="F244" s="20" t="s">
        <v>54</v>
      </c>
      <c r="G244" s="20" t="s">
        <v>55</v>
      </c>
      <c r="H244" s="20" t="s">
        <v>45</v>
      </c>
      <c r="I244" s="20" t="s">
        <v>46</v>
      </c>
      <c r="J244" s="21">
        <v>5</v>
      </c>
      <c r="K244" s="22">
        <v>3089.87</v>
      </c>
      <c r="L244" s="21">
        <v>5</v>
      </c>
      <c r="M244" s="22">
        <f t="shared" si="3"/>
        <v>772.46749999999997</v>
      </c>
      <c r="N244" s="22">
        <v>0</v>
      </c>
      <c r="O244" s="22">
        <v>9500</v>
      </c>
      <c r="P244" s="22">
        <v>0</v>
      </c>
      <c r="Q244" s="62" t="str">
        <f>IF(retail_store_performance_dashbo!$P244&gt;0,"Profit",IF(retail_store_performance_dashbo!$P244&lt;0,"Loss","Break Even"))</f>
        <v>Break Even</v>
      </c>
      <c r="R244" s="62" t="str" cm="1">
        <f t="array" ref="R244">_xlfn.IFS(L244=0,"No Discount",L244&lt;=5,"Low Discount",L244&lt;=10,"Medium Discount",L244&lt;=20,"High Discount")</f>
        <v>Low Discount</v>
      </c>
      <c r="S244" s="20" t="s">
        <v>67</v>
      </c>
      <c r="T244" s="20" t="s">
        <v>83</v>
      </c>
      <c r="U244" s="23">
        <v>0</v>
      </c>
      <c r="V244" s="75" t="str" cm="1">
        <f t="array" ref="V244">_xlfn.IFS(U244=0,"Not Rated",U244&gt;=4.5,"High Rating",U244&gt;=3,"Medium Rating",U244&lt;3,"Low Rating")</f>
        <v>Not Rated</v>
      </c>
    </row>
    <row r="245" spans="1:22" x14ac:dyDescent="0.3">
      <c r="A245" s="24" t="s">
        <v>374</v>
      </c>
      <c r="B245" s="25">
        <v>46136</v>
      </c>
      <c r="C245" s="26" t="s">
        <v>146</v>
      </c>
      <c r="D245" s="26" t="s">
        <v>147</v>
      </c>
      <c r="E245" s="26" t="s">
        <v>148</v>
      </c>
      <c r="F245" s="26" t="s">
        <v>22</v>
      </c>
      <c r="G245" s="26" t="s">
        <v>149</v>
      </c>
      <c r="H245" s="26" t="s">
        <v>41</v>
      </c>
      <c r="I245" s="26" t="s">
        <v>106</v>
      </c>
      <c r="J245" s="27">
        <v>6</v>
      </c>
      <c r="K245" s="28">
        <v>21441.87</v>
      </c>
      <c r="L245" s="27">
        <v>10</v>
      </c>
      <c r="M245" s="22">
        <f t="shared" si="3"/>
        <v>12865.121999999999</v>
      </c>
      <c r="N245" s="28">
        <v>115786.1</v>
      </c>
      <c r="O245" s="28">
        <v>96000</v>
      </c>
      <c r="P245" s="28">
        <v>19786.099999999999</v>
      </c>
      <c r="Q245" s="72" t="str">
        <f>IF(retail_store_performance_dashbo!$P245&gt;0,"Profit",IF(retail_store_performance_dashbo!$P245&lt;0,"Loss","Break Even"))</f>
        <v>Profit</v>
      </c>
      <c r="R245" s="62" t="str" cm="1">
        <f t="array" ref="R245">_xlfn.IFS(L245=0,"No Discount",L245&lt;=5,"Low Discount",L245&lt;=10,"Medium Discount",L245&lt;=20,"High Discount")</f>
        <v>Medium Discount</v>
      </c>
      <c r="S245" s="26" t="s">
        <v>26</v>
      </c>
      <c r="T245" s="26" t="s">
        <v>36</v>
      </c>
      <c r="U245" s="29">
        <v>4.8</v>
      </c>
      <c r="V245" s="75" t="str" cm="1">
        <f t="array" ref="V245">_xlfn.IFS(U245=0,"Not Rated",U245&gt;=4.5,"High Rating",U245&gt;=3,"Medium Rating",U245&lt;3,"Low Rating")</f>
        <v>High Rating</v>
      </c>
    </row>
    <row r="246" spans="1:22" x14ac:dyDescent="0.3">
      <c r="A246" s="18" t="s">
        <v>580</v>
      </c>
      <c r="B246" s="19">
        <v>46136</v>
      </c>
      <c r="C246" s="20" t="s">
        <v>146</v>
      </c>
      <c r="D246" s="20" t="s">
        <v>147</v>
      </c>
      <c r="E246" s="20" t="s">
        <v>148</v>
      </c>
      <c r="F246" s="20" t="s">
        <v>22</v>
      </c>
      <c r="G246" s="20" t="s">
        <v>149</v>
      </c>
      <c r="H246" s="20" t="s">
        <v>58</v>
      </c>
      <c r="I246" s="20" t="s">
        <v>69</v>
      </c>
      <c r="J246" s="21">
        <v>3</v>
      </c>
      <c r="K246" s="22">
        <v>666.37</v>
      </c>
      <c r="L246" s="21">
        <v>0</v>
      </c>
      <c r="M246" s="22">
        <f t="shared" si="3"/>
        <v>0</v>
      </c>
      <c r="N246" s="22">
        <v>1999.11</v>
      </c>
      <c r="O246" s="22">
        <v>1200</v>
      </c>
      <c r="P246" s="22">
        <v>799.11</v>
      </c>
      <c r="Q246" s="62" t="str">
        <f>IF(retail_store_performance_dashbo!$P246&gt;0,"Profit",IF(retail_store_performance_dashbo!$P246&lt;0,"Loss","Break Even"))</f>
        <v>Profit</v>
      </c>
      <c r="R246" s="62" t="str" cm="1">
        <f t="array" ref="R246">_xlfn.IFS(L246=0,"No Discount",L246&lt;=5,"Low Discount",L246&lt;=10,"Medium Discount",L246&lt;=20,"High Discount")</f>
        <v>No Discount</v>
      </c>
      <c r="S246" s="20" t="s">
        <v>26</v>
      </c>
      <c r="T246" s="20" t="s">
        <v>36</v>
      </c>
      <c r="U246" s="23">
        <v>3.1</v>
      </c>
      <c r="V246" s="75" t="str" cm="1">
        <f t="array" ref="V246">_xlfn.IFS(U246=0,"Not Rated",U246&gt;=4.5,"High Rating",U246&gt;=3,"Medium Rating",U246&lt;3,"Low Rating")</f>
        <v>Medium Rating</v>
      </c>
    </row>
    <row r="247" spans="1:22" x14ac:dyDescent="0.3">
      <c r="A247" s="24" t="s">
        <v>533</v>
      </c>
      <c r="B247" s="25">
        <v>46137</v>
      </c>
      <c r="C247" s="26" t="s">
        <v>146</v>
      </c>
      <c r="D247" s="26" t="s">
        <v>147</v>
      </c>
      <c r="E247" s="26" t="s">
        <v>148</v>
      </c>
      <c r="F247" s="26" t="s">
        <v>22</v>
      </c>
      <c r="G247" s="26" t="s">
        <v>149</v>
      </c>
      <c r="H247" s="26" t="s">
        <v>45</v>
      </c>
      <c r="I247" s="26" t="s">
        <v>124</v>
      </c>
      <c r="J247" s="27">
        <v>1</v>
      </c>
      <c r="K247" s="28">
        <v>4327.5200000000004</v>
      </c>
      <c r="L247" s="27">
        <v>15</v>
      </c>
      <c r="M247" s="22">
        <f t="shared" si="3"/>
        <v>649.12800000000004</v>
      </c>
      <c r="N247" s="28">
        <v>3678.39</v>
      </c>
      <c r="O247" s="28">
        <v>2600</v>
      </c>
      <c r="P247" s="28">
        <v>1078.3900000000001</v>
      </c>
      <c r="Q247" s="72" t="str">
        <f>IF(retail_store_performance_dashbo!$P247&gt;0,"Profit",IF(retail_store_performance_dashbo!$P247&lt;0,"Loss","Break Even"))</f>
        <v>Profit</v>
      </c>
      <c r="R247" s="62" t="str" cm="1">
        <f t="array" ref="R247">_xlfn.IFS(L247=0,"No Discount",L247&lt;=5,"Low Discount",L247&lt;=10,"Medium Discount",L247&lt;=20,"High Discount")</f>
        <v>High Discount</v>
      </c>
      <c r="S247" s="26" t="s">
        <v>35</v>
      </c>
      <c r="T247" s="26" t="s">
        <v>36</v>
      </c>
      <c r="U247" s="29">
        <v>3.5</v>
      </c>
      <c r="V247" s="75" t="str" cm="1">
        <f t="array" ref="V247">_xlfn.IFS(U247=0,"Not Rated",U247&gt;=4.5,"High Rating",U247&gt;=3,"Medium Rating",U247&lt;3,"Low Rating")</f>
        <v>Medium Rating</v>
      </c>
    </row>
    <row r="248" spans="1:22" x14ac:dyDescent="0.3">
      <c r="A248" s="18" t="s">
        <v>93</v>
      </c>
      <c r="B248" s="19">
        <v>46138</v>
      </c>
      <c r="C248" s="20" t="s">
        <v>19</v>
      </c>
      <c r="D248" s="20" t="s">
        <v>20</v>
      </c>
      <c r="E248" s="20" t="s">
        <v>21</v>
      </c>
      <c r="F248" s="20" t="s">
        <v>22</v>
      </c>
      <c r="G248" s="20" t="s">
        <v>23</v>
      </c>
      <c r="H248" s="20" t="s">
        <v>41</v>
      </c>
      <c r="I248" s="20" t="s">
        <v>42</v>
      </c>
      <c r="J248" s="21">
        <v>4</v>
      </c>
      <c r="K248" s="22">
        <v>4701.95</v>
      </c>
      <c r="L248" s="21">
        <v>5</v>
      </c>
      <c r="M248" s="22">
        <f t="shared" si="3"/>
        <v>940.39</v>
      </c>
      <c r="N248" s="22">
        <v>17867.41</v>
      </c>
      <c r="O248" s="22">
        <v>11600</v>
      </c>
      <c r="P248" s="22">
        <v>6267.41</v>
      </c>
      <c r="Q248" s="62" t="str">
        <f>IF(retail_store_performance_dashbo!$P248&gt;0,"Profit",IF(retail_store_performance_dashbo!$P248&lt;0,"Loss","Break Even"))</f>
        <v>Profit</v>
      </c>
      <c r="R248" s="62" t="str" cm="1">
        <f t="array" ref="R248">_xlfn.IFS(L248=0,"No Discount",L248&lt;=5,"Low Discount",L248&lt;=10,"Medium Discount",L248&lt;=20,"High Discount")</f>
        <v>Low Discount</v>
      </c>
      <c r="S248" s="20" t="s">
        <v>43</v>
      </c>
      <c r="T248" s="20" t="s">
        <v>36</v>
      </c>
      <c r="U248" s="23">
        <v>4</v>
      </c>
      <c r="V248" s="75" t="str" cm="1">
        <f t="array" ref="V248">_xlfn.IFS(U248=0,"Not Rated",U248&gt;=4.5,"High Rating",U248&gt;=3,"Medium Rating",U248&lt;3,"Low Rating")</f>
        <v>Medium Rating</v>
      </c>
    </row>
    <row r="249" spans="1:22" x14ac:dyDescent="0.3">
      <c r="A249" s="24" t="s">
        <v>280</v>
      </c>
      <c r="B249" s="25">
        <v>46138</v>
      </c>
      <c r="C249" s="26" t="s">
        <v>51</v>
      </c>
      <c r="D249" s="26" t="s">
        <v>52</v>
      </c>
      <c r="E249" s="26" t="s">
        <v>53</v>
      </c>
      <c r="F249" s="26" t="s">
        <v>54</v>
      </c>
      <c r="G249" s="26" t="s">
        <v>55</v>
      </c>
      <c r="H249" s="26" t="s">
        <v>48</v>
      </c>
      <c r="I249" s="26" t="s">
        <v>113</v>
      </c>
      <c r="J249" s="27">
        <v>1</v>
      </c>
      <c r="K249" s="28">
        <v>147.19</v>
      </c>
      <c r="L249" s="27">
        <v>20</v>
      </c>
      <c r="M249" s="22">
        <f t="shared" si="3"/>
        <v>29.438000000000002</v>
      </c>
      <c r="N249" s="28">
        <v>-117.75</v>
      </c>
      <c r="O249" s="28">
        <v>120</v>
      </c>
      <c r="P249" s="28">
        <v>-237.75</v>
      </c>
      <c r="Q249" s="72" t="str">
        <f>IF(retail_store_performance_dashbo!$P249&gt;0,"Profit",IF(retail_store_performance_dashbo!$P249&lt;0,"Loss","Break Even"))</f>
        <v>Loss</v>
      </c>
      <c r="R249" s="62" t="str" cm="1">
        <f t="array" ref="R249">_xlfn.IFS(L249=0,"No Discount",L249&lt;=5,"Low Discount",L249&lt;=10,"Medium Discount",L249&lt;=20,"High Discount")</f>
        <v>High Discount</v>
      </c>
      <c r="S249" s="26" t="s">
        <v>67</v>
      </c>
      <c r="T249" s="26" t="s">
        <v>27</v>
      </c>
      <c r="U249" s="29">
        <v>3.1</v>
      </c>
      <c r="V249" s="75" t="str" cm="1">
        <f t="array" ref="V249">_xlfn.IFS(U249=0,"Not Rated",U249&gt;=4.5,"High Rating",U249&gt;=3,"Medium Rating",U249&lt;3,"Low Rating")</f>
        <v>Medium Rating</v>
      </c>
    </row>
    <row r="250" spans="1:22" x14ac:dyDescent="0.3">
      <c r="A250" s="18" t="s">
        <v>512</v>
      </c>
      <c r="B250" s="19">
        <v>46138</v>
      </c>
      <c r="C250" s="20" t="s">
        <v>61</v>
      </c>
      <c r="D250" s="20" t="s">
        <v>62</v>
      </c>
      <c r="E250" s="20" t="s">
        <v>63</v>
      </c>
      <c r="F250" s="20" t="s">
        <v>22</v>
      </c>
      <c r="G250" s="20" t="s">
        <v>64</v>
      </c>
      <c r="H250" s="20" t="s">
        <v>24</v>
      </c>
      <c r="I250" s="20" t="s">
        <v>34</v>
      </c>
      <c r="J250" s="21">
        <v>2</v>
      </c>
      <c r="K250" s="22">
        <v>1786.63</v>
      </c>
      <c r="L250" s="21">
        <v>20</v>
      </c>
      <c r="M250" s="22">
        <f t="shared" si="3"/>
        <v>714.65200000000016</v>
      </c>
      <c r="N250" s="22">
        <v>2858.61</v>
      </c>
      <c r="O250" s="22">
        <v>2100</v>
      </c>
      <c r="P250" s="22">
        <v>758.61</v>
      </c>
      <c r="Q250" s="62" t="str">
        <f>IF(retail_store_performance_dashbo!$P250&gt;0,"Profit",IF(retail_store_performance_dashbo!$P250&lt;0,"Loss","Break Even"))</f>
        <v>Profit</v>
      </c>
      <c r="R250" s="62" t="str" cm="1">
        <f t="array" ref="R250">_xlfn.IFS(L250=0,"No Discount",L250&lt;=5,"Low Discount",L250&lt;=10,"Medium Discount",L250&lt;=20,"High Discount")</f>
        <v>High Discount</v>
      </c>
      <c r="S250" s="20" t="s">
        <v>43</v>
      </c>
      <c r="T250" s="20" t="s">
        <v>36</v>
      </c>
      <c r="U250" s="23">
        <v>3.2</v>
      </c>
      <c r="V250" s="75" t="str" cm="1">
        <f t="array" ref="V250">_xlfn.IFS(U250=0,"Not Rated",U250&gt;=4.5,"High Rating",U250&gt;=3,"Medium Rating",U250&lt;3,"Low Rating")</f>
        <v>Medium Rating</v>
      </c>
    </row>
    <row r="251" spans="1:22" x14ac:dyDescent="0.3">
      <c r="A251" s="24" t="s">
        <v>233</v>
      </c>
      <c r="B251" s="25">
        <v>46139</v>
      </c>
      <c r="C251" s="26" t="s">
        <v>29</v>
      </c>
      <c r="D251" s="26" t="s">
        <v>30</v>
      </c>
      <c r="E251" s="26" t="s">
        <v>31</v>
      </c>
      <c r="F251" s="26" t="s">
        <v>32</v>
      </c>
      <c r="G251" s="26" t="s">
        <v>33</v>
      </c>
      <c r="H251" s="26" t="s">
        <v>58</v>
      </c>
      <c r="I251" s="26" t="s">
        <v>69</v>
      </c>
      <c r="J251" s="27">
        <v>4</v>
      </c>
      <c r="K251" s="28">
        <v>709.49</v>
      </c>
      <c r="L251" s="27">
        <v>5</v>
      </c>
      <c r="M251" s="22">
        <f t="shared" si="3"/>
        <v>141.898</v>
      </c>
      <c r="N251" s="28">
        <v>2696.06</v>
      </c>
      <c r="O251" s="28">
        <v>1600</v>
      </c>
      <c r="P251" s="28">
        <v>1096.06</v>
      </c>
      <c r="Q251" s="72" t="str">
        <f>IF(retail_store_performance_dashbo!$P251&gt;0,"Profit",IF(retail_store_performance_dashbo!$P251&lt;0,"Loss","Break Even"))</f>
        <v>Profit</v>
      </c>
      <c r="R251" s="62" t="str" cm="1">
        <f t="array" ref="R251">_xlfn.IFS(L251=0,"No Discount",L251&lt;=5,"Low Discount",L251&lt;=10,"Medium Discount",L251&lt;=20,"High Discount")</f>
        <v>Low Discount</v>
      </c>
      <c r="S251" s="26" t="s">
        <v>67</v>
      </c>
      <c r="T251" s="26" t="s">
        <v>36</v>
      </c>
      <c r="U251" s="29">
        <v>3.6</v>
      </c>
      <c r="V251" s="75" t="str" cm="1">
        <f t="array" ref="V251">_xlfn.IFS(U251=0,"Not Rated",U251&gt;=4.5,"High Rating",U251&gt;=3,"Medium Rating",U251&lt;3,"Low Rating")</f>
        <v>Medium Rating</v>
      </c>
    </row>
    <row r="252" spans="1:22" x14ac:dyDescent="0.3">
      <c r="A252" s="18" t="s">
        <v>396</v>
      </c>
      <c r="B252" s="19">
        <v>46139</v>
      </c>
      <c r="C252" s="20" t="s">
        <v>146</v>
      </c>
      <c r="D252" s="20" t="s">
        <v>147</v>
      </c>
      <c r="E252" s="20" t="s">
        <v>148</v>
      </c>
      <c r="F252" s="20" t="s">
        <v>22</v>
      </c>
      <c r="G252" s="20" t="s">
        <v>149</v>
      </c>
      <c r="H252" s="20" t="s">
        <v>58</v>
      </c>
      <c r="I252" s="20" t="s">
        <v>59</v>
      </c>
      <c r="J252" s="21">
        <v>4</v>
      </c>
      <c r="K252" s="22">
        <v>5122.63</v>
      </c>
      <c r="L252" s="21">
        <v>5</v>
      </c>
      <c r="M252" s="22">
        <f t="shared" si="3"/>
        <v>1024.5260000000001</v>
      </c>
      <c r="N252" s="22">
        <v>-19465.990000000002</v>
      </c>
      <c r="O252" s="22">
        <v>14400</v>
      </c>
      <c r="P252" s="22">
        <v>-33865.99</v>
      </c>
      <c r="Q252" s="62" t="str">
        <f>IF(retail_store_performance_dashbo!$P252&gt;0,"Profit",IF(retail_store_performance_dashbo!$P252&lt;0,"Loss","Break Even"))</f>
        <v>Loss</v>
      </c>
      <c r="R252" s="62" t="str" cm="1">
        <f t="array" ref="R252">_xlfn.IFS(L252=0,"No Discount",L252&lt;=5,"Low Discount",L252&lt;=10,"Medium Discount",L252&lt;=20,"High Discount")</f>
        <v>Low Discount</v>
      </c>
      <c r="S252" s="20" t="s">
        <v>35</v>
      </c>
      <c r="T252" s="20" t="s">
        <v>27</v>
      </c>
      <c r="U252" s="23">
        <v>4.9000000000000004</v>
      </c>
      <c r="V252" s="75" t="str" cm="1">
        <f t="array" ref="V252">_xlfn.IFS(U252=0,"Not Rated",U252&gt;=4.5,"High Rating",U252&gt;=3,"Medium Rating",U252&lt;3,"Low Rating")</f>
        <v>High Rating</v>
      </c>
    </row>
    <row r="253" spans="1:22" x14ac:dyDescent="0.3">
      <c r="A253" s="24" t="s">
        <v>73</v>
      </c>
      <c r="B253" s="25">
        <v>46140</v>
      </c>
      <c r="C253" s="26" t="s">
        <v>61</v>
      </c>
      <c r="D253" s="26" t="s">
        <v>62</v>
      </c>
      <c r="E253" s="26" t="s">
        <v>63</v>
      </c>
      <c r="F253" s="26" t="s">
        <v>22</v>
      </c>
      <c r="G253" s="26" t="s">
        <v>64</v>
      </c>
      <c r="H253" s="26" t="s">
        <v>48</v>
      </c>
      <c r="I253" s="26" t="s">
        <v>56</v>
      </c>
      <c r="J253" s="27">
        <v>2</v>
      </c>
      <c r="K253" s="28">
        <v>97.6</v>
      </c>
      <c r="L253" s="27">
        <v>20</v>
      </c>
      <c r="M253" s="22">
        <f t="shared" si="3"/>
        <v>39.04</v>
      </c>
      <c r="N253" s="28">
        <v>156.16</v>
      </c>
      <c r="O253" s="28">
        <v>144</v>
      </c>
      <c r="P253" s="28">
        <v>12.16</v>
      </c>
      <c r="Q253" s="72" t="str">
        <f>IF(retail_store_performance_dashbo!$P253&gt;0,"Profit",IF(retail_store_performance_dashbo!$P253&lt;0,"Loss","Break Even"))</f>
        <v>Profit</v>
      </c>
      <c r="R253" s="62" t="str" cm="1">
        <f t="array" ref="R253">_xlfn.IFS(L253=0,"No Discount",L253&lt;=5,"Low Discount",L253&lt;=10,"Medium Discount",L253&lt;=20,"High Discount")</f>
        <v>High Discount</v>
      </c>
      <c r="S253" s="26" t="s">
        <v>43</v>
      </c>
      <c r="T253" s="26" t="s">
        <v>36</v>
      </c>
      <c r="U253" s="29">
        <v>4.5</v>
      </c>
      <c r="V253" s="75" t="str" cm="1">
        <f t="array" ref="V253">_xlfn.IFS(U253=0,"Not Rated",U253&gt;=4.5,"High Rating",U253&gt;=3,"Medium Rating",U253&lt;3,"Low Rating")</f>
        <v>High Rating</v>
      </c>
    </row>
    <row r="254" spans="1:22" x14ac:dyDescent="0.3">
      <c r="A254" s="18" t="s">
        <v>213</v>
      </c>
      <c r="B254" s="19">
        <v>46140</v>
      </c>
      <c r="C254" s="20" t="s">
        <v>29</v>
      </c>
      <c r="D254" s="20" t="s">
        <v>30</v>
      </c>
      <c r="E254" s="20" t="s">
        <v>31</v>
      </c>
      <c r="F254" s="20" t="s">
        <v>32</v>
      </c>
      <c r="G254" s="20" t="s">
        <v>33</v>
      </c>
      <c r="H254" s="20" t="s">
        <v>41</v>
      </c>
      <c r="I254" s="20" t="s">
        <v>42</v>
      </c>
      <c r="J254" s="21">
        <v>6</v>
      </c>
      <c r="K254" s="22">
        <v>4322.47</v>
      </c>
      <c r="L254" s="21">
        <v>5</v>
      </c>
      <c r="M254" s="22">
        <f t="shared" si="3"/>
        <v>1296.741</v>
      </c>
      <c r="N254" s="22">
        <v>-24638.080000000002</v>
      </c>
      <c r="O254" s="22">
        <v>17400</v>
      </c>
      <c r="P254" s="22">
        <v>-42038.080000000002</v>
      </c>
      <c r="Q254" s="62" t="str">
        <f>IF(retail_store_performance_dashbo!$P254&gt;0,"Profit",IF(retail_store_performance_dashbo!$P254&lt;0,"Loss","Break Even"))</f>
        <v>Loss</v>
      </c>
      <c r="R254" s="62" t="str" cm="1">
        <f t="array" ref="R254">_xlfn.IFS(L254=0,"No Discount",L254&lt;=5,"Low Discount",L254&lt;=10,"Medium Discount",L254&lt;=20,"High Discount")</f>
        <v>Low Discount</v>
      </c>
      <c r="S254" s="20" t="s">
        <v>43</v>
      </c>
      <c r="T254" s="20" t="s">
        <v>27</v>
      </c>
      <c r="U254" s="23">
        <v>4.0999999999999996</v>
      </c>
      <c r="V254" s="75" t="str" cm="1">
        <f t="array" ref="V254">_xlfn.IFS(U254=0,"Not Rated",U254&gt;=4.5,"High Rating",U254&gt;=3,"Medium Rating",U254&lt;3,"Low Rating")</f>
        <v>Medium Rating</v>
      </c>
    </row>
    <row r="255" spans="1:22" x14ac:dyDescent="0.3">
      <c r="A255" s="24" t="s">
        <v>250</v>
      </c>
      <c r="B255" s="25">
        <v>46140</v>
      </c>
      <c r="C255" s="26" t="s">
        <v>51</v>
      </c>
      <c r="D255" s="26" t="s">
        <v>52</v>
      </c>
      <c r="E255" s="26" t="s">
        <v>53</v>
      </c>
      <c r="F255" s="26" t="s">
        <v>54</v>
      </c>
      <c r="G255" s="26" t="s">
        <v>55</v>
      </c>
      <c r="H255" s="26" t="s">
        <v>41</v>
      </c>
      <c r="I255" s="26" t="s">
        <v>42</v>
      </c>
      <c r="J255" s="27">
        <v>1</v>
      </c>
      <c r="K255" s="28">
        <v>4608</v>
      </c>
      <c r="L255" s="27">
        <v>20</v>
      </c>
      <c r="M255" s="22">
        <f t="shared" si="3"/>
        <v>921.6</v>
      </c>
      <c r="N255" s="28">
        <v>3686.4</v>
      </c>
      <c r="O255" s="28">
        <v>2900</v>
      </c>
      <c r="P255" s="28">
        <v>786.4</v>
      </c>
      <c r="Q255" s="72" t="str">
        <f>IF(retail_store_performance_dashbo!$P255&gt;0,"Profit",IF(retail_store_performance_dashbo!$P255&lt;0,"Loss","Break Even"))</f>
        <v>Profit</v>
      </c>
      <c r="R255" s="62" t="str" cm="1">
        <f t="array" ref="R255">_xlfn.IFS(L255=0,"No Discount",L255&lt;=5,"Low Discount",L255&lt;=10,"Medium Discount",L255&lt;=20,"High Discount")</f>
        <v>High Discount</v>
      </c>
      <c r="S255" s="26" t="s">
        <v>35</v>
      </c>
      <c r="T255" s="26" t="s">
        <v>36</v>
      </c>
      <c r="U255" s="29">
        <v>3.8</v>
      </c>
      <c r="V255" s="75" t="str" cm="1">
        <f t="array" ref="V255">_xlfn.IFS(U255=0,"Not Rated",U255&gt;=4.5,"High Rating",U255&gt;=3,"Medium Rating",U255&lt;3,"Low Rating")</f>
        <v>Medium Rating</v>
      </c>
    </row>
    <row r="256" spans="1:22" x14ac:dyDescent="0.3">
      <c r="A256" s="18" t="s">
        <v>454</v>
      </c>
      <c r="B256" s="19">
        <v>46140</v>
      </c>
      <c r="C256" s="20" t="s">
        <v>77</v>
      </c>
      <c r="D256" s="20" t="s">
        <v>78</v>
      </c>
      <c r="E256" s="20" t="s">
        <v>79</v>
      </c>
      <c r="F256" s="20" t="s">
        <v>80</v>
      </c>
      <c r="G256" s="20" t="s">
        <v>81</v>
      </c>
      <c r="H256" s="20" t="s">
        <v>58</v>
      </c>
      <c r="I256" s="20" t="s">
        <v>59</v>
      </c>
      <c r="J256" s="21">
        <v>3</v>
      </c>
      <c r="K256" s="22">
        <v>5066.46</v>
      </c>
      <c r="L256" s="21">
        <v>5</v>
      </c>
      <c r="M256" s="22">
        <f t="shared" si="3"/>
        <v>759.96900000000005</v>
      </c>
      <c r="N256" s="22">
        <v>14439.41</v>
      </c>
      <c r="O256" s="22">
        <v>10800</v>
      </c>
      <c r="P256" s="22">
        <v>3639.41</v>
      </c>
      <c r="Q256" s="62" t="str">
        <f>IF(retail_store_performance_dashbo!$P256&gt;0,"Profit",IF(retail_store_performance_dashbo!$P256&lt;0,"Loss","Break Even"))</f>
        <v>Profit</v>
      </c>
      <c r="R256" s="62" t="str" cm="1">
        <f t="array" ref="R256">_xlfn.IFS(L256=0,"No Discount",L256&lt;=5,"Low Discount",L256&lt;=10,"Medium Discount",L256&lt;=20,"High Discount")</f>
        <v>Low Discount</v>
      </c>
      <c r="S256" s="20" t="s">
        <v>43</v>
      </c>
      <c r="T256" s="20" t="s">
        <v>36</v>
      </c>
      <c r="U256" s="23">
        <v>3.1</v>
      </c>
      <c r="V256" s="75" t="str" cm="1">
        <f t="array" ref="V256">_xlfn.IFS(U256=0,"Not Rated",U256&gt;=4.5,"High Rating",U256&gt;=3,"Medium Rating",U256&lt;3,"Low Rating")</f>
        <v>Medium Rating</v>
      </c>
    </row>
    <row r="257" spans="1:22" x14ac:dyDescent="0.3">
      <c r="A257" s="24" t="s">
        <v>436</v>
      </c>
      <c r="B257" s="25">
        <v>46141</v>
      </c>
      <c r="C257" s="26" t="s">
        <v>97</v>
      </c>
      <c r="D257" s="26" t="s">
        <v>98</v>
      </c>
      <c r="E257" s="26" t="s">
        <v>99</v>
      </c>
      <c r="F257" s="26" t="s">
        <v>54</v>
      </c>
      <c r="G257" s="26" t="s">
        <v>100</v>
      </c>
      <c r="H257" s="26" t="s">
        <v>41</v>
      </c>
      <c r="I257" s="26" t="s">
        <v>42</v>
      </c>
      <c r="J257" s="27">
        <v>4</v>
      </c>
      <c r="K257" s="28">
        <v>4661.4399999999996</v>
      </c>
      <c r="L257" s="27">
        <v>0</v>
      </c>
      <c r="M257" s="22">
        <f t="shared" si="3"/>
        <v>0</v>
      </c>
      <c r="N257" s="28">
        <v>18645.759999999998</v>
      </c>
      <c r="O257" s="28">
        <v>11600</v>
      </c>
      <c r="P257" s="28">
        <v>7045.76</v>
      </c>
      <c r="Q257" s="72" t="str">
        <f>IF(retail_store_performance_dashbo!$P257&gt;0,"Profit",IF(retail_store_performance_dashbo!$P257&lt;0,"Loss","Break Even"))</f>
        <v>Profit</v>
      </c>
      <c r="R257" s="62" t="str" cm="1">
        <f t="array" ref="R257">_xlfn.IFS(L257=0,"No Discount",L257&lt;=5,"Low Discount",L257&lt;=10,"Medium Discount",L257&lt;=20,"High Discount")</f>
        <v>No Discount</v>
      </c>
      <c r="S257" s="26" t="s">
        <v>67</v>
      </c>
      <c r="T257" s="26" t="s">
        <v>36</v>
      </c>
      <c r="U257" s="29">
        <v>3.4</v>
      </c>
      <c r="V257" s="75" t="str" cm="1">
        <f t="array" ref="V257">_xlfn.IFS(U257=0,"Not Rated",U257&gt;=4.5,"High Rating",U257&gt;=3,"Medium Rating",U257&lt;3,"Low Rating")</f>
        <v>Medium Rating</v>
      </c>
    </row>
    <row r="258" spans="1:22" x14ac:dyDescent="0.3">
      <c r="A258" s="18" t="s">
        <v>352</v>
      </c>
      <c r="B258" s="19">
        <v>46142</v>
      </c>
      <c r="C258" s="20" t="s">
        <v>19</v>
      </c>
      <c r="D258" s="20" t="s">
        <v>20</v>
      </c>
      <c r="E258" s="20" t="s">
        <v>21</v>
      </c>
      <c r="F258" s="20" t="s">
        <v>22</v>
      </c>
      <c r="G258" s="20" t="s">
        <v>23</v>
      </c>
      <c r="H258" s="20" t="s">
        <v>48</v>
      </c>
      <c r="I258" s="20" t="s">
        <v>113</v>
      </c>
      <c r="J258" s="21">
        <v>3</v>
      </c>
      <c r="K258" s="22">
        <v>149.63</v>
      </c>
      <c r="L258" s="21">
        <v>0</v>
      </c>
      <c r="M258" s="22">
        <f t="shared" si="3"/>
        <v>0</v>
      </c>
      <c r="N258" s="22">
        <v>448.89</v>
      </c>
      <c r="O258" s="22">
        <v>360</v>
      </c>
      <c r="P258" s="22">
        <v>88.89</v>
      </c>
      <c r="Q258" s="62" t="str">
        <f>IF(retail_store_performance_dashbo!$P258&gt;0,"Profit",IF(retail_store_performance_dashbo!$P258&lt;0,"Loss","Break Even"))</f>
        <v>Profit</v>
      </c>
      <c r="R258" s="62" t="str" cm="1">
        <f t="array" ref="R258">_xlfn.IFS(L258=0,"No Discount",L258&lt;=5,"Low Discount",L258&lt;=10,"Medium Discount",L258&lt;=20,"High Discount")</f>
        <v>No Discount</v>
      </c>
      <c r="S258" s="20" t="s">
        <v>43</v>
      </c>
      <c r="T258" s="20" t="s">
        <v>36</v>
      </c>
      <c r="U258" s="23">
        <v>5</v>
      </c>
      <c r="V258" s="75" t="str" cm="1">
        <f t="array" ref="V258">_xlfn.IFS(U258=0,"Not Rated",U258&gt;=4.5,"High Rating",U258&gt;=3,"Medium Rating",U258&lt;3,"Low Rating")</f>
        <v>High Rating</v>
      </c>
    </row>
    <row r="259" spans="1:22" x14ac:dyDescent="0.3">
      <c r="A259" s="24" t="s">
        <v>388</v>
      </c>
      <c r="B259" s="25">
        <v>46142</v>
      </c>
      <c r="C259" s="26" t="s">
        <v>61</v>
      </c>
      <c r="D259" s="26" t="s">
        <v>62</v>
      </c>
      <c r="E259" s="26" t="s">
        <v>63</v>
      </c>
      <c r="F259" s="26" t="s">
        <v>22</v>
      </c>
      <c r="G259" s="26" t="s">
        <v>64</v>
      </c>
      <c r="H259" s="26" t="s">
        <v>58</v>
      </c>
      <c r="I259" s="26" t="s">
        <v>59</v>
      </c>
      <c r="J259" s="27">
        <v>6</v>
      </c>
      <c r="K259" s="28">
        <v>4972.4799999999996</v>
      </c>
      <c r="L259" s="27">
        <v>10</v>
      </c>
      <c r="M259" s="22">
        <f t="shared" ref="M259:M322" si="4">J259*K259*L259/100</f>
        <v>2983.4879999999998</v>
      </c>
      <c r="N259" s="28">
        <v>-26851.39</v>
      </c>
      <c r="O259" s="28">
        <v>21600</v>
      </c>
      <c r="P259" s="28">
        <v>-48451.39</v>
      </c>
      <c r="Q259" s="72" t="str">
        <f>IF(retail_store_performance_dashbo!$P259&gt;0,"Profit",IF(retail_store_performance_dashbo!$P259&lt;0,"Loss","Break Even"))</f>
        <v>Loss</v>
      </c>
      <c r="R259" s="62" t="str" cm="1">
        <f t="array" ref="R259">_xlfn.IFS(L259=0,"No Discount",L259&lt;=5,"Low Discount",L259&lt;=10,"Medium Discount",L259&lt;=20,"High Discount")</f>
        <v>Medium Discount</v>
      </c>
      <c r="S259" s="26" t="s">
        <v>70</v>
      </c>
      <c r="T259" s="26" t="s">
        <v>27</v>
      </c>
      <c r="U259" s="29">
        <v>3.4</v>
      </c>
      <c r="V259" s="75" t="str" cm="1">
        <f t="array" ref="V259">_xlfn.IFS(U259=0,"Not Rated",U259&gt;=4.5,"High Rating",U259&gt;=3,"Medium Rating",U259&lt;3,"Low Rating")</f>
        <v>Medium Rating</v>
      </c>
    </row>
    <row r="260" spans="1:22" x14ac:dyDescent="0.3">
      <c r="A260" s="18" t="s">
        <v>568</v>
      </c>
      <c r="B260" s="19">
        <v>46142</v>
      </c>
      <c r="C260" s="20" t="s">
        <v>61</v>
      </c>
      <c r="D260" s="20" t="s">
        <v>62</v>
      </c>
      <c r="E260" s="20" t="s">
        <v>63</v>
      </c>
      <c r="F260" s="20" t="s">
        <v>22</v>
      </c>
      <c r="G260" s="20" t="s">
        <v>64</v>
      </c>
      <c r="H260" s="20" t="s">
        <v>24</v>
      </c>
      <c r="I260" s="20" t="s">
        <v>25</v>
      </c>
      <c r="J260" s="21">
        <v>3</v>
      </c>
      <c r="K260" s="22">
        <v>353.03</v>
      </c>
      <c r="L260" s="21">
        <v>20</v>
      </c>
      <c r="M260" s="22">
        <f t="shared" si="4"/>
        <v>211.81799999999998</v>
      </c>
      <c r="N260" s="22">
        <v>847.27</v>
      </c>
      <c r="O260" s="22">
        <v>660</v>
      </c>
      <c r="P260" s="22">
        <v>187.27</v>
      </c>
      <c r="Q260" s="62" t="str">
        <f>IF(retail_store_performance_dashbo!$P260&gt;0,"Profit",IF(retail_store_performance_dashbo!$P260&lt;0,"Loss","Break Even"))</f>
        <v>Profit</v>
      </c>
      <c r="R260" s="62" t="str" cm="1">
        <f t="array" ref="R260">_xlfn.IFS(L260=0,"No Discount",L260&lt;=5,"Low Discount",L260&lt;=10,"Medium Discount",L260&lt;=20,"High Discount")</f>
        <v>High Discount</v>
      </c>
      <c r="S260" s="20" t="s">
        <v>43</v>
      </c>
      <c r="T260" s="20" t="s">
        <v>36</v>
      </c>
      <c r="U260" s="23">
        <v>4.4000000000000004</v>
      </c>
      <c r="V260" s="75" t="str" cm="1">
        <f t="array" ref="V260">_xlfn.IFS(U260=0,"Not Rated",U260&gt;=4.5,"High Rating",U260&gt;=3,"Medium Rating",U260&lt;3,"Low Rating")</f>
        <v>Medium Rating</v>
      </c>
    </row>
    <row r="261" spans="1:22" x14ac:dyDescent="0.3">
      <c r="A261" s="24" t="s">
        <v>137</v>
      </c>
      <c r="B261" s="25">
        <v>46144</v>
      </c>
      <c r="C261" s="26" t="s">
        <v>61</v>
      </c>
      <c r="D261" s="26" t="s">
        <v>62</v>
      </c>
      <c r="E261" s="26" t="s">
        <v>63</v>
      </c>
      <c r="F261" s="26" t="s">
        <v>22</v>
      </c>
      <c r="G261" s="26" t="s">
        <v>64</v>
      </c>
      <c r="H261" s="26" t="s">
        <v>41</v>
      </c>
      <c r="I261" s="26" t="s">
        <v>42</v>
      </c>
      <c r="J261" s="27">
        <v>5</v>
      </c>
      <c r="K261" s="28">
        <v>4508.53</v>
      </c>
      <c r="L261" s="27">
        <v>10</v>
      </c>
      <c r="M261" s="22">
        <f t="shared" si="4"/>
        <v>2254.2649999999999</v>
      </c>
      <c r="N261" s="28">
        <v>20288.38</v>
      </c>
      <c r="O261" s="28">
        <v>14500</v>
      </c>
      <c r="P261" s="28">
        <v>5788.38</v>
      </c>
      <c r="Q261" s="72" t="str">
        <f>IF(retail_store_performance_dashbo!$P261&gt;0,"Profit",IF(retail_store_performance_dashbo!$P261&lt;0,"Loss","Break Even"))</f>
        <v>Profit</v>
      </c>
      <c r="R261" s="62" t="str" cm="1">
        <f t="array" ref="R261">_xlfn.IFS(L261=0,"No Discount",L261&lt;=5,"Low Discount",L261&lt;=10,"Medium Discount",L261&lt;=20,"High Discount")</f>
        <v>Medium Discount</v>
      </c>
      <c r="S261" s="26" t="s">
        <v>26</v>
      </c>
      <c r="T261" s="26" t="s">
        <v>36</v>
      </c>
      <c r="U261" s="29">
        <v>3.9</v>
      </c>
      <c r="V261" s="75" t="str" cm="1">
        <f t="array" ref="V261">_xlfn.IFS(U261=0,"Not Rated",U261&gt;=4.5,"High Rating",U261&gt;=3,"Medium Rating",U261&lt;3,"Low Rating")</f>
        <v>Medium Rating</v>
      </c>
    </row>
    <row r="262" spans="1:22" x14ac:dyDescent="0.3">
      <c r="A262" s="18" t="s">
        <v>241</v>
      </c>
      <c r="B262" s="19">
        <v>46144</v>
      </c>
      <c r="C262" s="20" t="s">
        <v>51</v>
      </c>
      <c r="D262" s="20" t="s">
        <v>52</v>
      </c>
      <c r="E262" s="20" t="s">
        <v>53</v>
      </c>
      <c r="F262" s="20" t="s">
        <v>54</v>
      </c>
      <c r="G262" s="20" t="s">
        <v>55</v>
      </c>
      <c r="H262" s="20" t="s">
        <v>48</v>
      </c>
      <c r="I262" s="20" t="s">
        <v>113</v>
      </c>
      <c r="J262" s="21">
        <v>2</v>
      </c>
      <c r="K262" s="22">
        <v>146.52000000000001</v>
      </c>
      <c r="L262" s="21">
        <v>15</v>
      </c>
      <c r="M262" s="22">
        <f t="shared" si="4"/>
        <v>43.956000000000003</v>
      </c>
      <c r="N262" s="22">
        <v>-249.08</v>
      </c>
      <c r="O262" s="22">
        <v>240</v>
      </c>
      <c r="P262" s="22">
        <v>-489.08</v>
      </c>
      <c r="Q262" s="62" t="str">
        <f>IF(retail_store_performance_dashbo!$P262&gt;0,"Profit",IF(retail_store_performance_dashbo!$P262&lt;0,"Loss","Break Even"))</f>
        <v>Loss</v>
      </c>
      <c r="R262" s="62" t="str" cm="1">
        <f t="array" ref="R262">_xlfn.IFS(L262=0,"No Discount",L262&lt;=5,"Low Discount",L262&lt;=10,"Medium Discount",L262&lt;=20,"High Discount")</f>
        <v>High Discount</v>
      </c>
      <c r="S262" s="20" t="s">
        <v>67</v>
      </c>
      <c r="T262" s="20" t="s">
        <v>27</v>
      </c>
      <c r="U262" s="23">
        <v>4.9000000000000004</v>
      </c>
      <c r="V262" s="75" t="str" cm="1">
        <f t="array" ref="V262">_xlfn.IFS(U262=0,"Not Rated",U262&gt;=4.5,"High Rating",U262&gt;=3,"Medium Rating",U262&lt;3,"Low Rating")</f>
        <v>High Rating</v>
      </c>
    </row>
    <row r="263" spans="1:22" x14ac:dyDescent="0.3">
      <c r="A263" s="24" t="s">
        <v>270</v>
      </c>
      <c r="B263" s="25">
        <v>46144</v>
      </c>
      <c r="C263" s="26" t="s">
        <v>51</v>
      </c>
      <c r="D263" s="26" t="s">
        <v>52</v>
      </c>
      <c r="E263" s="26" t="s">
        <v>53</v>
      </c>
      <c r="F263" s="26" t="s">
        <v>54</v>
      </c>
      <c r="G263" s="26" t="s">
        <v>55</v>
      </c>
      <c r="H263" s="26" t="s">
        <v>48</v>
      </c>
      <c r="I263" s="26" t="s">
        <v>49</v>
      </c>
      <c r="J263" s="27">
        <v>4</v>
      </c>
      <c r="K263" s="28">
        <v>282.89999999999998</v>
      </c>
      <c r="L263" s="27">
        <v>5</v>
      </c>
      <c r="M263" s="22">
        <f t="shared" si="4"/>
        <v>56.58</v>
      </c>
      <c r="N263" s="28">
        <v>1075.02</v>
      </c>
      <c r="O263" s="28">
        <v>840</v>
      </c>
      <c r="P263" s="28">
        <v>235.02</v>
      </c>
      <c r="Q263" s="72" t="str">
        <f>IF(retail_store_performance_dashbo!$P263&gt;0,"Profit",IF(retail_store_performance_dashbo!$P263&lt;0,"Loss","Break Even"))</f>
        <v>Profit</v>
      </c>
      <c r="R263" s="62" t="str" cm="1">
        <f t="array" ref="R263">_xlfn.IFS(L263=0,"No Discount",L263&lt;=5,"Low Discount",L263&lt;=10,"Medium Discount",L263&lt;=20,"High Discount")</f>
        <v>Low Discount</v>
      </c>
      <c r="S263" s="26" t="s">
        <v>35</v>
      </c>
      <c r="T263" s="26" t="s">
        <v>36</v>
      </c>
      <c r="U263" s="29">
        <v>4.2</v>
      </c>
      <c r="V263" s="75" t="str" cm="1">
        <f t="array" ref="V263">_xlfn.IFS(U263=0,"Not Rated",U263&gt;=4.5,"High Rating",U263&gt;=3,"Medium Rating",U263&lt;3,"Low Rating")</f>
        <v>Medium Rating</v>
      </c>
    </row>
    <row r="264" spans="1:22" x14ac:dyDescent="0.3">
      <c r="A264" s="18" t="s">
        <v>385</v>
      </c>
      <c r="B264" s="19">
        <v>46144</v>
      </c>
      <c r="C264" s="20" t="s">
        <v>51</v>
      </c>
      <c r="D264" s="20" t="s">
        <v>52</v>
      </c>
      <c r="E264" s="20" t="s">
        <v>53</v>
      </c>
      <c r="F264" s="20" t="s">
        <v>54</v>
      </c>
      <c r="G264" s="20" t="s">
        <v>55</v>
      </c>
      <c r="H264" s="20" t="s">
        <v>24</v>
      </c>
      <c r="I264" s="20" t="s">
        <v>66</v>
      </c>
      <c r="J264" s="21">
        <v>1</v>
      </c>
      <c r="K264" s="22">
        <v>534.80999999999995</v>
      </c>
      <c r="L264" s="21">
        <v>0</v>
      </c>
      <c r="M264" s="22">
        <f t="shared" si="4"/>
        <v>0</v>
      </c>
      <c r="N264" s="22">
        <v>534.80999999999995</v>
      </c>
      <c r="O264" s="22">
        <v>340</v>
      </c>
      <c r="P264" s="22">
        <v>194.81</v>
      </c>
      <c r="Q264" s="62" t="str">
        <f>IF(retail_store_performance_dashbo!$P264&gt;0,"Profit",IF(retail_store_performance_dashbo!$P264&lt;0,"Loss","Break Even"))</f>
        <v>Profit</v>
      </c>
      <c r="R264" s="62" t="str" cm="1">
        <f t="array" ref="R264">_xlfn.IFS(L264=0,"No Discount",L264&lt;=5,"Low Discount",L264&lt;=10,"Medium Discount",L264&lt;=20,"High Discount")</f>
        <v>No Discount</v>
      </c>
      <c r="S264" s="20" t="s">
        <v>43</v>
      </c>
      <c r="T264" s="20" t="s">
        <v>36</v>
      </c>
      <c r="U264" s="23">
        <v>4</v>
      </c>
      <c r="V264" s="75" t="str" cm="1">
        <f t="array" ref="V264">_xlfn.IFS(U264=0,"Not Rated",U264&gt;=4.5,"High Rating",U264&gt;=3,"Medium Rating",U264&lt;3,"Low Rating")</f>
        <v>Medium Rating</v>
      </c>
    </row>
    <row r="265" spans="1:22" x14ac:dyDescent="0.3">
      <c r="A265" s="24" t="s">
        <v>493</v>
      </c>
      <c r="B265" s="25">
        <v>46144</v>
      </c>
      <c r="C265" s="26" t="s">
        <v>38</v>
      </c>
      <c r="D265" s="26" t="s">
        <v>39</v>
      </c>
      <c r="E265" s="26" t="s">
        <v>39</v>
      </c>
      <c r="F265" s="26" t="s">
        <v>32</v>
      </c>
      <c r="G265" s="26" t="s">
        <v>40</v>
      </c>
      <c r="H265" s="26" t="s">
        <v>24</v>
      </c>
      <c r="I265" s="26" t="s">
        <v>75</v>
      </c>
      <c r="J265" s="27">
        <v>6</v>
      </c>
      <c r="K265" s="28">
        <v>468</v>
      </c>
      <c r="L265" s="27">
        <v>10</v>
      </c>
      <c r="M265" s="22">
        <f t="shared" si="4"/>
        <v>280.8</v>
      </c>
      <c r="N265" s="28">
        <v>0</v>
      </c>
      <c r="O265" s="28">
        <v>1740</v>
      </c>
      <c r="P265" s="28">
        <v>0</v>
      </c>
      <c r="Q265" s="72" t="str">
        <f>IF(retail_store_performance_dashbo!$P265&gt;0,"Profit",IF(retail_store_performance_dashbo!$P265&lt;0,"Loss","Break Even"))</f>
        <v>Break Even</v>
      </c>
      <c r="R265" s="62" t="str" cm="1">
        <f t="array" ref="R265">_xlfn.IFS(L265=0,"No Discount",L265&lt;=5,"Low Discount",L265&lt;=10,"Medium Discount",L265&lt;=20,"High Discount")</f>
        <v>Medium Discount</v>
      </c>
      <c r="S265" s="26" t="s">
        <v>43</v>
      </c>
      <c r="T265" s="26" t="s">
        <v>83</v>
      </c>
      <c r="U265" s="29">
        <v>0</v>
      </c>
      <c r="V265" s="75" t="str" cm="1">
        <f t="array" ref="V265">_xlfn.IFS(U265=0,"Not Rated",U265&gt;=4.5,"High Rating",U265&gt;=3,"Medium Rating",U265&lt;3,"Low Rating")</f>
        <v>Not Rated</v>
      </c>
    </row>
    <row r="266" spans="1:22" x14ac:dyDescent="0.3">
      <c r="A266" s="18" t="s">
        <v>567</v>
      </c>
      <c r="B266" s="19">
        <v>46145</v>
      </c>
      <c r="C266" s="20" t="s">
        <v>19</v>
      </c>
      <c r="D266" s="20" t="s">
        <v>20</v>
      </c>
      <c r="E266" s="20" t="s">
        <v>21</v>
      </c>
      <c r="F266" s="20" t="s">
        <v>22</v>
      </c>
      <c r="G266" s="20" t="s">
        <v>23</v>
      </c>
      <c r="H266" s="20" t="s">
        <v>41</v>
      </c>
      <c r="I266" s="20" t="s">
        <v>92</v>
      </c>
      <c r="J266" s="21">
        <v>6</v>
      </c>
      <c r="K266" s="22">
        <v>53862.27</v>
      </c>
      <c r="L266" s="21">
        <v>0</v>
      </c>
      <c r="M266" s="22">
        <f t="shared" si="4"/>
        <v>0</v>
      </c>
      <c r="N266" s="22">
        <v>323173.62</v>
      </c>
      <c r="O266" s="22">
        <v>252000</v>
      </c>
      <c r="P266" s="22">
        <v>71173.62</v>
      </c>
      <c r="Q266" s="62" t="str">
        <f>IF(retail_store_performance_dashbo!$P266&gt;0,"Profit",IF(retail_store_performance_dashbo!$P266&lt;0,"Loss","Break Even"))</f>
        <v>Profit</v>
      </c>
      <c r="R266" s="62" t="str" cm="1">
        <f t="array" ref="R266">_xlfn.IFS(L266=0,"No Discount",L266&lt;=5,"Low Discount",L266&lt;=10,"Medium Discount",L266&lt;=20,"High Discount")</f>
        <v>No Discount</v>
      </c>
      <c r="S266" s="20" t="s">
        <v>35</v>
      </c>
      <c r="T266" s="20" t="s">
        <v>36</v>
      </c>
      <c r="U266" s="23">
        <v>4.7</v>
      </c>
      <c r="V266" s="75" t="str" cm="1">
        <f t="array" ref="V266">_xlfn.IFS(U266=0,"Not Rated",U266&gt;=4.5,"High Rating",U266&gt;=3,"Medium Rating",U266&lt;3,"Low Rating")</f>
        <v>High Rating</v>
      </c>
    </row>
    <row r="267" spans="1:22" x14ac:dyDescent="0.3">
      <c r="A267" s="24" t="s">
        <v>356</v>
      </c>
      <c r="B267" s="25">
        <v>46146</v>
      </c>
      <c r="C267" s="26" t="s">
        <v>38</v>
      </c>
      <c r="D267" s="26" t="s">
        <v>39</v>
      </c>
      <c r="E267" s="26" t="s">
        <v>39</v>
      </c>
      <c r="F267" s="26" t="s">
        <v>32</v>
      </c>
      <c r="G267" s="26" t="s">
        <v>40</v>
      </c>
      <c r="H267" s="26" t="s">
        <v>48</v>
      </c>
      <c r="I267" s="26" t="s">
        <v>113</v>
      </c>
      <c r="J267" s="27">
        <v>4</v>
      </c>
      <c r="K267" s="28">
        <v>145.43</v>
      </c>
      <c r="L267" s="27">
        <v>5</v>
      </c>
      <c r="M267" s="22">
        <f t="shared" si="4"/>
        <v>29.086000000000002</v>
      </c>
      <c r="N267" s="28">
        <v>552.63</v>
      </c>
      <c r="O267" s="28">
        <v>480</v>
      </c>
      <c r="P267" s="28">
        <v>72.63</v>
      </c>
      <c r="Q267" s="72" t="str">
        <f>IF(retail_store_performance_dashbo!$P267&gt;0,"Profit",IF(retail_store_performance_dashbo!$P267&lt;0,"Loss","Break Even"))</f>
        <v>Profit</v>
      </c>
      <c r="R267" s="62" t="str" cm="1">
        <f t="array" ref="R267">_xlfn.IFS(L267=0,"No Discount",L267&lt;=5,"Low Discount",L267&lt;=10,"Medium Discount",L267&lt;=20,"High Discount")</f>
        <v>Low Discount</v>
      </c>
      <c r="S267" s="26" t="s">
        <v>70</v>
      </c>
      <c r="T267" s="26" t="s">
        <v>36</v>
      </c>
      <c r="U267" s="29">
        <v>4.9000000000000004</v>
      </c>
      <c r="V267" s="75" t="str" cm="1">
        <f t="array" ref="V267">_xlfn.IFS(U267=0,"Not Rated",U267&gt;=4.5,"High Rating",U267&gt;=3,"Medium Rating",U267&lt;3,"Low Rating")</f>
        <v>High Rating</v>
      </c>
    </row>
    <row r="268" spans="1:22" x14ac:dyDescent="0.3">
      <c r="A268" s="18" t="s">
        <v>127</v>
      </c>
      <c r="B268" s="19">
        <v>46147</v>
      </c>
      <c r="C268" s="20" t="s">
        <v>51</v>
      </c>
      <c r="D268" s="20" t="s">
        <v>52</v>
      </c>
      <c r="E268" s="20" t="s">
        <v>53</v>
      </c>
      <c r="F268" s="20" t="s">
        <v>54</v>
      </c>
      <c r="G268" s="20" t="s">
        <v>55</v>
      </c>
      <c r="H268" s="20" t="s">
        <v>48</v>
      </c>
      <c r="I268" s="20" t="s">
        <v>56</v>
      </c>
      <c r="J268" s="21">
        <v>5</v>
      </c>
      <c r="K268" s="22">
        <v>102.02</v>
      </c>
      <c r="L268" s="21">
        <v>0</v>
      </c>
      <c r="M268" s="22">
        <f t="shared" si="4"/>
        <v>0</v>
      </c>
      <c r="N268" s="22">
        <v>510.1</v>
      </c>
      <c r="O268" s="22">
        <v>360</v>
      </c>
      <c r="P268" s="22">
        <v>150.1</v>
      </c>
      <c r="Q268" s="62" t="str">
        <f>IF(retail_store_performance_dashbo!$P268&gt;0,"Profit",IF(retail_store_performance_dashbo!$P268&lt;0,"Loss","Break Even"))</f>
        <v>Profit</v>
      </c>
      <c r="R268" s="62" t="str" cm="1">
        <f t="array" ref="R268">_xlfn.IFS(L268=0,"No Discount",L268&lt;=5,"Low Discount",L268&lt;=10,"Medium Discount",L268&lt;=20,"High Discount")</f>
        <v>No Discount</v>
      </c>
      <c r="S268" s="20" t="s">
        <v>70</v>
      </c>
      <c r="T268" s="20" t="s">
        <v>36</v>
      </c>
      <c r="U268" s="23">
        <v>3.2</v>
      </c>
      <c r="V268" s="75" t="str" cm="1">
        <f t="array" ref="V268">_xlfn.IFS(U268=0,"Not Rated",U268&gt;=4.5,"High Rating",U268&gt;=3,"Medium Rating",U268&lt;3,"Low Rating")</f>
        <v>Medium Rating</v>
      </c>
    </row>
    <row r="269" spans="1:22" x14ac:dyDescent="0.3">
      <c r="A269" s="24" t="s">
        <v>582</v>
      </c>
      <c r="B269" s="25">
        <v>46147</v>
      </c>
      <c r="C269" s="26" t="s">
        <v>77</v>
      </c>
      <c r="D269" s="26" t="s">
        <v>78</v>
      </c>
      <c r="E269" s="26" t="s">
        <v>79</v>
      </c>
      <c r="F269" s="26" t="s">
        <v>80</v>
      </c>
      <c r="G269" s="26" t="s">
        <v>81</v>
      </c>
      <c r="H269" s="26" t="s">
        <v>41</v>
      </c>
      <c r="I269" s="26" t="s">
        <v>135</v>
      </c>
      <c r="J269" s="27">
        <v>3</v>
      </c>
      <c r="K269" s="28">
        <v>1850.62</v>
      </c>
      <c r="L269" s="27">
        <v>10</v>
      </c>
      <c r="M269" s="22">
        <f t="shared" si="4"/>
        <v>555.18600000000004</v>
      </c>
      <c r="N269" s="28">
        <v>-4996.67</v>
      </c>
      <c r="O269" s="28">
        <v>3300</v>
      </c>
      <c r="P269" s="28">
        <v>-8296.67</v>
      </c>
      <c r="Q269" s="72" t="str">
        <f>IF(retail_store_performance_dashbo!$P269&gt;0,"Profit",IF(retail_store_performance_dashbo!$P269&lt;0,"Loss","Break Even"))</f>
        <v>Loss</v>
      </c>
      <c r="R269" s="62" t="str" cm="1">
        <f t="array" ref="R269">_xlfn.IFS(L269=0,"No Discount",L269&lt;=5,"Low Discount",L269&lt;=10,"Medium Discount",L269&lt;=20,"High Discount")</f>
        <v>Medium Discount</v>
      </c>
      <c r="S269" s="26" t="s">
        <v>67</v>
      </c>
      <c r="T269" s="26" t="s">
        <v>27</v>
      </c>
      <c r="U269" s="29">
        <v>3.2</v>
      </c>
      <c r="V269" s="75" t="str" cm="1">
        <f t="array" ref="V269">_xlfn.IFS(U269=0,"Not Rated",U269&gt;=4.5,"High Rating",U269&gt;=3,"Medium Rating",U269&lt;3,"Low Rating")</f>
        <v>Medium Rating</v>
      </c>
    </row>
    <row r="270" spans="1:22" x14ac:dyDescent="0.3">
      <c r="A270" s="18" t="s">
        <v>165</v>
      </c>
      <c r="B270" s="19">
        <v>46148</v>
      </c>
      <c r="C270" s="20" t="s">
        <v>51</v>
      </c>
      <c r="D270" s="20" t="s">
        <v>52</v>
      </c>
      <c r="E270" s="20" t="s">
        <v>53</v>
      </c>
      <c r="F270" s="20" t="s">
        <v>54</v>
      </c>
      <c r="G270" s="20" t="s">
        <v>55</v>
      </c>
      <c r="H270" s="20" t="s">
        <v>48</v>
      </c>
      <c r="I270" s="20" t="s">
        <v>113</v>
      </c>
      <c r="J270" s="21">
        <v>2</v>
      </c>
      <c r="K270" s="22">
        <v>150.22</v>
      </c>
      <c r="L270" s="21">
        <v>0</v>
      </c>
      <c r="M270" s="22">
        <f t="shared" si="4"/>
        <v>0</v>
      </c>
      <c r="N270" s="22">
        <v>300.44</v>
      </c>
      <c r="O270" s="22">
        <v>240</v>
      </c>
      <c r="P270" s="22">
        <v>60.44</v>
      </c>
      <c r="Q270" s="62" t="str">
        <f>IF(retail_store_performance_dashbo!$P270&gt;0,"Profit",IF(retail_store_performance_dashbo!$P270&lt;0,"Loss","Break Even"))</f>
        <v>Profit</v>
      </c>
      <c r="R270" s="62" t="str" cm="1">
        <f t="array" ref="R270">_xlfn.IFS(L270=0,"No Discount",L270&lt;=5,"Low Discount",L270&lt;=10,"Medium Discount",L270&lt;=20,"High Discount")</f>
        <v>No Discount</v>
      </c>
      <c r="S270" s="20" t="s">
        <v>35</v>
      </c>
      <c r="T270" s="20" t="s">
        <v>36</v>
      </c>
      <c r="U270" s="23">
        <v>4.5</v>
      </c>
      <c r="V270" s="75" t="str" cm="1">
        <f t="array" ref="V270">_xlfn.IFS(U270=0,"Not Rated",U270&gt;=4.5,"High Rating",U270&gt;=3,"Medium Rating",U270&lt;3,"Low Rating")</f>
        <v>High Rating</v>
      </c>
    </row>
    <row r="271" spans="1:22" x14ac:dyDescent="0.3">
      <c r="A271" s="24" t="s">
        <v>348</v>
      </c>
      <c r="B271" s="25">
        <v>46148</v>
      </c>
      <c r="C271" s="26" t="s">
        <v>51</v>
      </c>
      <c r="D271" s="26" t="s">
        <v>52</v>
      </c>
      <c r="E271" s="26" t="s">
        <v>53</v>
      </c>
      <c r="F271" s="26" t="s">
        <v>54</v>
      </c>
      <c r="G271" s="26" t="s">
        <v>55</v>
      </c>
      <c r="H271" s="26" t="s">
        <v>24</v>
      </c>
      <c r="I271" s="26" t="s">
        <v>75</v>
      </c>
      <c r="J271" s="27">
        <v>5</v>
      </c>
      <c r="K271" s="28">
        <v>460.06</v>
      </c>
      <c r="L271" s="27">
        <v>10</v>
      </c>
      <c r="M271" s="22">
        <f t="shared" si="4"/>
        <v>230.03</v>
      </c>
      <c r="N271" s="28">
        <v>2070.27</v>
      </c>
      <c r="O271" s="28">
        <v>1450</v>
      </c>
      <c r="P271" s="28">
        <v>620.27</v>
      </c>
      <c r="Q271" s="72" t="str">
        <f>IF(retail_store_performance_dashbo!$P271&gt;0,"Profit",IF(retail_store_performance_dashbo!$P271&lt;0,"Loss","Break Even"))</f>
        <v>Profit</v>
      </c>
      <c r="R271" s="62" t="str" cm="1">
        <f t="array" ref="R271">_xlfn.IFS(L271=0,"No Discount",L271&lt;=5,"Low Discount",L271&lt;=10,"Medium Discount",L271&lt;=20,"High Discount")</f>
        <v>Medium Discount</v>
      </c>
      <c r="S271" s="26" t="s">
        <v>35</v>
      </c>
      <c r="T271" s="26" t="s">
        <v>36</v>
      </c>
      <c r="U271" s="29">
        <v>3.8</v>
      </c>
      <c r="V271" s="75" t="str" cm="1">
        <f t="array" ref="V271">_xlfn.IFS(U271=0,"Not Rated",U271&gt;=4.5,"High Rating",U271&gt;=3,"Medium Rating",U271&lt;3,"Low Rating")</f>
        <v>Medium Rating</v>
      </c>
    </row>
    <row r="272" spans="1:22" x14ac:dyDescent="0.3">
      <c r="A272" s="18" t="s">
        <v>521</v>
      </c>
      <c r="B272" s="19">
        <v>46148</v>
      </c>
      <c r="C272" s="20" t="s">
        <v>61</v>
      </c>
      <c r="D272" s="20" t="s">
        <v>62</v>
      </c>
      <c r="E272" s="20" t="s">
        <v>63</v>
      </c>
      <c r="F272" s="20" t="s">
        <v>22</v>
      </c>
      <c r="G272" s="20" t="s">
        <v>64</v>
      </c>
      <c r="H272" s="20" t="s">
        <v>48</v>
      </c>
      <c r="I272" s="20" t="s">
        <v>113</v>
      </c>
      <c r="J272" s="21">
        <v>5</v>
      </c>
      <c r="K272" s="22">
        <v>148.12</v>
      </c>
      <c r="L272" s="21">
        <v>0</v>
      </c>
      <c r="M272" s="22">
        <f t="shared" si="4"/>
        <v>0</v>
      </c>
      <c r="N272" s="22">
        <v>740.6</v>
      </c>
      <c r="O272" s="22">
        <v>600</v>
      </c>
      <c r="P272" s="22">
        <v>140.6</v>
      </c>
      <c r="Q272" s="62" t="str">
        <f>IF(retail_store_performance_dashbo!$P272&gt;0,"Profit",IF(retail_store_performance_dashbo!$P272&lt;0,"Loss","Break Even"))</f>
        <v>Profit</v>
      </c>
      <c r="R272" s="62" t="str" cm="1">
        <f t="array" ref="R272">_xlfn.IFS(L272=0,"No Discount",L272&lt;=5,"Low Discount",L272&lt;=10,"Medium Discount",L272&lt;=20,"High Discount")</f>
        <v>No Discount</v>
      </c>
      <c r="S272" s="20" t="s">
        <v>35</v>
      </c>
      <c r="T272" s="20" t="s">
        <v>36</v>
      </c>
      <c r="U272" s="23">
        <v>4</v>
      </c>
      <c r="V272" s="75" t="str" cm="1">
        <f t="array" ref="V272">_xlfn.IFS(U272=0,"Not Rated",U272&gt;=4.5,"High Rating",U272&gt;=3,"Medium Rating",U272&lt;3,"Low Rating")</f>
        <v>Medium Rating</v>
      </c>
    </row>
    <row r="273" spans="1:22" x14ac:dyDescent="0.3">
      <c r="A273" s="24" t="s">
        <v>268</v>
      </c>
      <c r="B273" s="25">
        <v>46149</v>
      </c>
      <c r="C273" s="26" t="s">
        <v>38</v>
      </c>
      <c r="D273" s="26" t="s">
        <v>39</v>
      </c>
      <c r="E273" s="26" t="s">
        <v>39</v>
      </c>
      <c r="F273" s="26" t="s">
        <v>32</v>
      </c>
      <c r="G273" s="26" t="s">
        <v>40</v>
      </c>
      <c r="H273" s="26" t="s">
        <v>48</v>
      </c>
      <c r="I273" s="26" t="s">
        <v>49</v>
      </c>
      <c r="J273" s="27">
        <v>3</v>
      </c>
      <c r="K273" s="28">
        <v>270.99</v>
      </c>
      <c r="L273" s="27">
        <v>5</v>
      </c>
      <c r="M273" s="22">
        <f t="shared" si="4"/>
        <v>40.648500000000006</v>
      </c>
      <c r="N273" s="28">
        <v>-772.32</v>
      </c>
      <c r="O273" s="28">
        <v>630</v>
      </c>
      <c r="P273" s="28">
        <v>-1402.32</v>
      </c>
      <c r="Q273" s="72" t="str">
        <f>IF(retail_store_performance_dashbo!$P273&gt;0,"Profit",IF(retail_store_performance_dashbo!$P273&lt;0,"Loss","Break Even"))</f>
        <v>Loss</v>
      </c>
      <c r="R273" s="62" t="str" cm="1">
        <f t="array" ref="R273">_xlfn.IFS(L273=0,"No Discount",L273&lt;=5,"Low Discount",L273&lt;=10,"Medium Discount",L273&lt;=20,"High Discount")</f>
        <v>Low Discount</v>
      </c>
      <c r="S273" s="26" t="s">
        <v>35</v>
      </c>
      <c r="T273" s="26" t="s">
        <v>27</v>
      </c>
      <c r="U273" s="29">
        <v>3.2</v>
      </c>
      <c r="V273" s="75" t="str" cm="1">
        <f t="array" ref="V273">_xlfn.IFS(U273=0,"Not Rated",U273&gt;=4.5,"High Rating",U273&gt;=3,"Medium Rating",U273&lt;3,"Low Rating")</f>
        <v>Medium Rating</v>
      </c>
    </row>
    <row r="274" spans="1:22" x14ac:dyDescent="0.3">
      <c r="A274" s="18" t="s">
        <v>318</v>
      </c>
      <c r="B274" s="19">
        <v>46149</v>
      </c>
      <c r="C274" s="20" t="s">
        <v>146</v>
      </c>
      <c r="D274" s="20" t="s">
        <v>147</v>
      </c>
      <c r="E274" s="20" t="s">
        <v>148</v>
      </c>
      <c r="F274" s="20" t="s">
        <v>22</v>
      </c>
      <c r="G274" s="20" t="s">
        <v>149</v>
      </c>
      <c r="H274" s="20" t="s">
        <v>58</v>
      </c>
      <c r="I274" s="20" t="s">
        <v>69</v>
      </c>
      <c r="J274" s="21">
        <v>1</v>
      </c>
      <c r="K274" s="22">
        <v>699.13</v>
      </c>
      <c r="L274" s="21">
        <v>15</v>
      </c>
      <c r="M274" s="22">
        <f t="shared" si="4"/>
        <v>104.8695</v>
      </c>
      <c r="N274" s="22">
        <v>594.26</v>
      </c>
      <c r="O274" s="22">
        <v>400</v>
      </c>
      <c r="P274" s="22">
        <v>194.26</v>
      </c>
      <c r="Q274" s="62" t="str">
        <f>IF(retail_store_performance_dashbo!$P274&gt;0,"Profit",IF(retail_store_performance_dashbo!$P274&lt;0,"Loss","Break Even"))</f>
        <v>Profit</v>
      </c>
      <c r="R274" s="62" t="str" cm="1">
        <f t="array" ref="R274">_xlfn.IFS(L274=0,"No Discount",L274&lt;=5,"Low Discount",L274&lt;=10,"Medium Discount",L274&lt;=20,"High Discount")</f>
        <v>High Discount</v>
      </c>
      <c r="S274" s="20" t="s">
        <v>43</v>
      </c>
      <c r="T274" s="20" t="s">
        <v>36</v>
      </c>
      <c r="U274" s="23">
        <v>3.7</v>
      </c>
      <c r="V274" s="75" t="str" cm="1">
        <f t="array" ref="V274">_xlfn.IFS(U274=0,"Not Rated",U274&gt;=4.5,"High Rating",U274&gt;=3,"Medium Rating",U274&lt;3,"Low Rating")</f>
        <v>Medium Rating</v>
      </c>
    </row>
    <row r="275" spans="1:22" x14ac:dyDescent="0.3">
      <c r="A275" s="24" t="s">
        <v>216</v>
      </c>
      <c r="B275" s="25">
        <v>46150</v>
      </c>
      <c r="C275" s="26" t="s">
        <v>51</v>
      </c>
      <c r="D275" s="26" t="s">
        <v>52</v>
      </c>
      <c r="E275" s="26" t="s">
        <v>53</v>
      </c>
      <c r="F275" s="26" t="s">
        <v>54</v>
      </c>
      <c r="G275" s="26" t="s">
        <v>55</v>
      </c>
      <c r="H275" s="26" t="s">
        <v>58</v>
      </c>
      <c r="I275" s="26" t="s">
        <v>82</v>
      </c>
      <c r="J275" s="27">
        <v>4</v>
      </c>
      <c r="K275" s="28">
        <v>2364.37</v>
      </c>
      <c r="L275" s="27">
        <v>0</v>
      </c>
      <c r="M275" s="22">
        <f t="shared" si="4"/>
        <v>0</v>
      </c>
      <c r="N275" s="28">
        <v>0</v>
      </c>
      <c r="O275" s="28">
        <v>6200</v>
      </c>
      <c r="P275" s="28">
        <v>0</v>
      </c>
      <c r="Q275" s="72" t="str">
        <f>IF(retail_store_performance_dashbo!$P275&gt;0,"Profit",IF(retail_store_performance_dashbo!$P275&lt;0,"Loss","Break Even"))</f>
        <v>Break Even</v>
      </c>
      <c r="R275" s="62" t="str" cm="1">
        <f t="array" ref="R275">_xlfn.IFS(L275=0,"No Discount",L275&lt;=5,"Low Discount",L275&lt;=10,"Medium Discount",L275&lt;=20,"High Discount")</f>
        <v>No Discount</v>
      </c>
      <c r="S275" s="26" t="s">
        <v>43</v>
      </c>
      <c r="T275" s="26" t="s">
        <v>83</v>
      </c>
      <c r="U275" s="29">
        <v>0</v>
      </c>
      <c r="V275" s="75" t="str" cm="1">
        <f t="array" ref="V275">_xlfn.IFS(U275=0,"Not Rated",U275&gt;=4.5,"High Rating",U275&gt;=3,"Medium Rating",U275&lt;3,"Low Rating")</f>
        <v>Not Rated</v>
      </c>
    </row>
    <row r="276" spans="1:22" x14ac:dyDescent="0.3">
      <c r="A276" s="18" t="s">
        <v>503</v>
      </c>
      <c r="B276" s="19">
        <v>46150</v>
      </c>
      <c r="C276" s="20" t="s">
        <v>38</v>
      </c>
      <c r="D276" s="20" t="s">
        <v>39</v>
      </c>
      <c r="E276" s="20" t="s">
        <v>39</v>
      </c>
      <c r="F276" s="20" t="s">
        <v>32</v>
      </c>
      <c r="G276" s="20" t="s">
        <v>40</v>
      </c>
      <c r="H276" s="20" t="s">
        <v>24</v>
      </c>
      <c r="I276" s="20" t="s">
        <v>34</v>
      </c>
      <c r="J276" s="21">
        <v>2</v>
      </c>
      <c r="K276" s="22">
        <v>1795.49</v>
      </c>
      <c r="L276" s="21">
        <v>10</v>
      </c>
      <c r="M276" s="22">
        <f t="shared" si="4"/>
        <v>359.09800000000001</v>
      </c>
      <c r="N276" s="22">
        <v>3231.88</v>
      </c>
      <c r="O276" s="22">
        <v>2100</v>
      </c>
      <c r="P276" s="22">
        <v>1131.8800000000001</v>
      </c>
      <c r="Q276" s="62" t="str">
        <f>IF(retail_store_performance_dashbo!$P276&gt;0,"Profit",IF(retail_store_performance_dashbo!$P276&lt;0,"Loss","Break Even"))</f>
        <v>Profit</v>
      </c>
      <c r="R276" s="62" t="str" cm="1">
        <f t="array" ref="R276">_xlfn.IFS(L276=0,"No Discount",L276&lt;=5,"Low Discount",L276&lt;=10,"Medium Discount",L276&lt;=20,"High Discount")</f>
        <v>Medium Discount</v>
      </c>
      <c r="S276" s="20" t="s">
        <v>35</v>
      </c>
      <c r="T276" s="20" t="s">
        <v>36</v>
      </c>
      <c r="U276" s="23">
        <v>4.7</v>
      </c>
      <c r="V276" s="75" t="str" cm="1">
        <f t="array" ref="V276">_xlfn.IFS(U276=0,"Not Rated",U276&gt;=4.5,"High Rating",U276&gt;=3,"Medium Rating",U276&lt;3,"Low Rating")</f>
        <v>High Rating</v>
      </c>
    </row>
    <row r="277" spans="1:22" x14ac:dyDescent="0.3">
      <c r="A277" s="24" t="s">
        <v>332</v>
      </c>
      <c r="B277" s="25">
        <v>46151</v>
      </c>
      <c r="C277" s="26" t="s">
        <v>51</v>
      </c>
      <c r="D277" s="26" t="s">
        <v>52</v>
      </c>
      <c r="E277" s="26" t="s">
        <v>53</v>
      </c>
      <c r="F277" s="26" t="s">
        <v>54</v>
      </c>
      <c r="G277" s="26" t="s">
        <v>55</v>
      </c>
      <c r="H277" s="26" t="s">
        <v>58</v>
      </c>
      <c r="I277" s="26" t="s">
        <v>72</v>
      </c>
      <c r="J277" s="27">
        <v>3</v>
      </c>
      <c r="K277" s="28">
        <v>3748.85</v>
      </c>
      <c r="L277" s="27">
        <v>10</v>
      </c>
      <c r="M277" s="22">
        <f t="shared" si="4"/>
        <v>1124.655</v>
      </c>
      <c r="N277" s="28">
        <v>-10121.9</v>
      </c>
      <c r="O277" s="28">
        <v>8100</v>
      </c>
      <c r="P277" s="28">
        <v>-18221.900000000001</v>
      </c>
      <c r="Q277" s="72" t="str">
        <f>IF(retail_store_performance_dashbo!$P277&gt;0,"Profit",IF(retail_store_performance_dashbo!$P277&lt;0,"Loss","Break Even"))</f>
        <v>Loss</v>
      </c>
      <c r="R277" s="62" t="str" cm="1">
        <f t="array" ref="R277">_xlfn.IFS(L277=0,"No Discount",L277&lt;=5,"Low Discount",L277&lt;=10,"Medium Discount",L277&lt;=20,"High Discount")</f>
        <v>Medium Discount</v>
      </c>
      <c r="S277" s="26" t="s">
        <v>35</v>
      </c>
      <c r="T277" s="26" t="s">
        <v>27</v>
      </c>
      <c r="U277" s="29">
        <v>4.5</v>
      </c>
      <c r="V277" s="75" t="str" cm="1">
        <f t="array" ref="V277">_xlfn.IFS(U277=0,"Not Rated",U277&gt;=4.5,"High Rating",U277&gt;=3,"Medium Rating",U277&lt;3,"Low Rating")</f>
        <v>High Rating</v>
      </c>
    </row>
    <row r="278" spans="1:22" x14ac:dyDescent="0.3">
      <c r="A278" s="18" t="s">
        <v>395</v>
      </c>
      <c r="B278" s="19">
        <v>46151</v>
      </c>
      <c r="C278" s="20" t="s">
        <v>77</v>
      </c>
      <c r="D278" s="20" t="s">
        <v>78</v>
      </c>
      <c r="E278" s="20" t="s">
        <v>79</v>
      </c>
      <c r="F278" s="20" t="s">
        <v>80</v>
      </c>
      <c r="G278" s="20" t="s">
        <v>81</v>
      </c>
      <c r="H278" s="20" t="s">
        <v>48</v>
      </c>
      <c r="I278" s="20" t="s">
        <v>109</v>
      </c>
      <c r="J278" s="21">
        <v>6</v>
      </c>
      <c r="K278" s="22">
        <v>679.31</v>
      </c>
      <c r="L278" s="21">
        <v>5</v>
      </c>
      <c r="M278" s="22">
        <f t="shared" si="4"/>
        <v>203.79300000000001</v>
      </c>
      <c r="N278" s="22">
        <v>0</v>
      </c>
      <c r="O278" s="22">
        <v>3060</v>
      </c>
      <c r="P278" s="22">
        <v>0</v>
      </c>
      <c r="Q278" s="62" t="str">
        <f>IF(retail_store_performance_dashbo!$P278&gt;0,"Profit",IF(retail_store_performance_dashbo!$P278&lt;0,"Loss","Break Even"))</f>
        <v>Break Even</v>
      </c>
      <c r="R278" s="62" t="str" cm="1">
        <f t="array" ref="R278">_xlfn.IFS(L278=0,"No Discount",L278&lt;=5,"Low Discount",L278&lt;=10,"Medium Discount",L278&lt;=20,"High Discount")</f>
        <v>Low Discount</v>
      </c>
      <c r="S278" s="20" t="s">
        <v>67</v>
      </c>
      <c r="T278" s="20" t="s">
        <v>83</v>
      </c>
      <c r="U278" s="23">
        <v>0</v>
      </c>
      <c r="V278" s="75" t="str" cm="1">
        <f t="array" ref="V278">_xlfn.IFS(U278=0,"Not Rated",U278&gt;=4.5,"High Rating",U278&gt;=3,"Medium Rating",U278&lt;3,"Low Rating")</f>
        <v>Not Rated</v>
      </c>
    </row>
    <row r="279" spans="1:22" x14ac:dyDescent="0.3">
      <c r="A279" s="24" t="s">
        <v>462</v>
      </c>
      <c r="B279" s="25">
        <v>46151</v>
      </c>
      <c r="C279" s="26" t="s">
        <v>19</v>
      </c>
      <c r="D279" s="26" t="s">
        <v>20</v>
      </c>
      <c r="E279" s="26" t="s">
        <v>21</v>
      </c>
      <c r="F279" s="26" t="s">
        <v>22</v>
      </c>
      <c r="G279" s="26" t="s">
        <v>23</v>
      </c>
      <c r="H279" s="26" t="s">
        <v>58</v>
      </c>
      <c r="I279" s="26" t="s">
        <v>82</v>
      </c>
      <c r="J279" s="27">
        <v>2</v>
      </c>
      <c r="K279" s="28">
        <v>2306.27</v>
      </c>
      <c r="L279" s="27">
        <v>0</v>
      </c>
      <c r="M279" s="22">
        <f t="shared" si="4"/>
        <v>0</v>
      </c>
      <c r="N279" s="28">
        <v>4612.54</v>
      </c>
      <c r="O279" s="28">
        <v>3100</v>
      </c>
      <c r="P279" s="28">
        <v>1512.54</v>
      </c>
      <c r="Q279" s="72" t="str">
        <f>IF(retail_store_performance_dashbo!$P279&gt;0,"Profit",IF(retail_store_performance_dashbo!$P279&lt;0,"Loss","Break Even"))</f>
        <v>Profit</v>
      </c>
      <c r="R279" s="62" t="str" cm="1">
        <f t="array" ref="R279">_xlfn.IFS(L279=0,"No Discount",L279&lt;=5,"Low Discount",L279&lt;=10,"Medium Discount",L279&lt;=20,"High Discount")</f>
        <v>No Discount</v>
      </c>
      <c r="S279" s="26" t="s">
        <v>67</v>
      </c>
      <c r="T279" s="26" t="s">
        <v>36</v>
      </c>
      <c r="U279" s="29">
        <v>3.9</v>
      </c>
      <c r="V279" s="75" t="str" cm="1">
        <f t="array" ref="V279">_xlfn.IFS(U279=0,"Not Rated",U279&gt;=4.5,"High Rating",U279&gt;=3,"Medium Rating",U279&lt;3,"Low Rating")</f>
        <v>Medium Rating</v>
      </c>
    </row>
    <row r="280" spans="1:22" x14ac:dyDescent="0.3">
      <c r="A280" s="18" t="s">
        <v>515</v>
      </c>
      <c r="B280" s="19">
        <v>46151</v>
      </c>
      <c r="C280" s="20" t="s">
        <v>77</v>
      </c>
      <c r="D280" s="20" t="s">
        <v>78</v>
      </c>
      <c r="E280" s="20" t="s">
        <v>79</v>
      </c>
      <c r="F280" s="20" t="s">
        <v>80</v>
      </c>
      <c r="G280" s="20" t="s">
        <v>81</v>
      </c>
      <c r="H280" s="20" t="s">
        <v>41</v>
      </c>
      <c r="I280" s="20" t="s">
        <v>42</v>
      </c>
      <c r="J280" s="21">
        <v>3</v>
      </c>
      <c r="K280" s="22">
        <v>4639.79</v>
      </c>
      <c r="L280" s="21">
        <v>10</v>
      </c>
      <c r="M280" s="22">
        <f t="shared" si="4"/>
        <v>1391.9369999999999</v>
      </c>
      <c r="N280" s="22">
        <v>12527.43</v>
      </c>
      <c r="O280" s="22">
        <v>8700</v>
      </c>
      <c r="P280" s="22">
        <v>3827.43</v>
      </c>
      <c r="Q280" s="62" t="str">
        <f>IF(retail_store_performance_dashbo!$P280&gt;0,"Profit",IF(retail_store_performance_dashbo!$P280&lt;0,"Loss","Break Even"))</f>
        <v>Profit</v>
      </c>
      <c r="R280" s="62" t="str" cm="1">
        <f t="array" ref="R280">_xlfn.IFS(L280=0,"No Discount",L280&lt;=5,"Low Discount",L280&lt;=10,"Medium Discount",L280&lt;=20,"High Discount")</f>
        <v>Medium Discount</v>
      </c>
      <c r="S280" s="20" t="s">
        <v>43</v>
      </c>
      <c r="T280" s="20" t="s">
        <v>36</v>
      </c>
      <c r="U280" s="23">
        <v>4.4000000000000004</v>
      </c>
      <c r="V280" s="75" t="str" cm="1">
        <f t="array" ref="V280">_xlfn.IFS(U280=0,"Not Rated",U280&gt;=4.5,"High Rating",U280&gt;=3,"Medium Rating",U280&lt;3,"Low Rating")</f>
        <v>Medium Rating</v>
      </c>
    </row>
    <row r="281" spans="1:22" x14ac:dyDescent="0.3">
      <c r="A281" s="24" t="s">
        <v>90</v>
      </c>
      <c r="B281" s="25">
        <v>46152</v>
      </c>
      <c r="C281" s="26" t="s">
        <v>29</v>
      </c>
      <c r="D281" s="26" t="s">
        <v>30</v>
      </c>
      <c r="E281" s="26" t="s">
        <v>31</v>
      </c>
      <c r="F281" s="26" t="s">
        <v>32</v>
      </c>
      <c r="G281" s="26" t="s">
        <v>33</v>
      </c>
      <c r="H281" s="26" t="s">
        <v>58</v>
      </c>
      <c r="I281" s="26" t="s">
        <v>72</v>
      </c>
      <c r="J281" s="27">
        <v>2</v>
      </c>
      <c r="K281" s="28">
        <v>3807.61</v>
      </c>
      <c r="L281" s="27">
        <v>5</v>
      </c>
      <c r="M281" s="22">
        <f t="shared" si="4"/>
        <v>380.76099999999997</v>
      </c>
      <c r="N281" s="28">
        <v>7234.46</v>
      </c>
      <c r="O281" s="28">
        <v>5400</v>
      </c>
      <c r="P281" s="28">
        <v>1834.46</v>
      </c>
      <c r="Q281" s="72" t="str">
        <f>IF(retail_store_performance_dashbo!$P281&gt;0,"Profit",IF(retail_store_performance_dashbo!$P281&lt;0,"Loss","Break Even"))</f>
        <v>Profit</v>
      </c>
      <c r="R281" s="62" t="str" cm="1">
        <f t="array" ref="R281">_xlfn.IFS(L281=0,"No Discount",L281&lt;=5,"Low Discount",L281&lt;=10,"Medium Discount",L281&lt;=20,"High Discount")</f>
        <v>Low Discount</v>
      </c>
      <c r="S281" s="26" t="s">
        <v>43</v>
      </c>
      <c r="T281" s="26" t="s">
        <v>36</v>
      </c>
      <c r="U281" s="29">
        <v>4.9000000000000004</v>
      </c>
      <c r="V281" s="75" t="str" cm="1">
        <f t="array" ref="V281">_xlfn.IFS(U281=0,"Not Rated",U281&gt;=4.5,"High Rating",U281&gt;=3,"Medium Rating",U281&lt;3,"Low Rating")</f>
        <v>High Rating</v>
      </c>
    </row>
    <row r="282" spans="1:22" x14ac:dyDescent="0.3">
      <c r="A282" s="18" t="s">
        <v>191</v>
      </c>
      <c r="B282" s="19">
        <v>46152</v>
      </c>
      <c r="C282" s="20" t="s">
        <v>19</v>
      </c>
      <c r="D282" s="20" t="s">
        <v>20</v>
      </c>
      <c r="E282" s="20" t="s">
        <v>21</v>
      </c>
      <c r="F282" s="20" t="s">
        <v>22</v>
      </c>
      <c r="G282" s="20" t="s">
        <v>23</v>
      </c>
      <c r="H282" s="20" t="s">
        <v>58</v>
      </c>
      <c r="I282" s="20" t="s">
        <v>72</v>
      </c>
      <c r="J282" s="21">
        <v>3</v>
      </c>
      <c r="K282" s="22">
        <v>3983.76</v>
      </c>
      <c r="L282" s="21">
        <v>5</v>
      </c>
      <c r="M282" s="22">
        <f t="shared" si="4"/>
        <v>597.56399999999996</v>
      </c>
      <c r="N282" s="22">
        <v>11353.72</v>
      </c>
      <c r="O282" s="22">
        <v>8100</v>
      </c>
      <c r="P282" s="22">
        <v>3253.72</v>
      </c>
      <c r="Q282" s="62" t="str">
        <f>IF(retail_store_performance_dashbo!$P282&gt;0,"Profit",IF(retail_store_performance_dashbo!$P282&lt;0,"Loss","Break Even"))</f>
        <v>Profit</v>
      </c>
      <c r="R282" s="62" t="str" cm="1">
        <f t="array" ref="R282">_xlfn.IFS(L282=0,"No Discount",L282&lt;=5,"Low Discount",L282&lt;=10,"Medium Discount",L282&lt;=20,"High Discount")</f>
        <v>Low Discount</v>
      </c>
      <c r="S282" s="20" t="s">
        <v>67</v>
      </c>
      <c r="T282" s="20" t="s">
        <v>36</v>
      </c>
      <c r="U282" s="23">
        <v>3</v>
      </c>
      <c r="V282" s="75" t="str" cm="1">
        <f t="array" ref="V282">_xlfn.IFS(U282=0,"Not Rated",U282&gt;=4.5,"High Rating",U282&gt;=3,"Medium Rating",U282&lt;3,"Low Rating")</f>
        <v>Medium Rating</v>
      </c>
    </row>
    <row r="283" spans="1:22" x14ac:dyDescent="0.3">
      <c r="A283" s="24" t="s">
        <v>418</v>
      </c>
      <c r="B283" s="25">
        <v>46152</v>
      </c>
      <c r="C283" s="26" t="s">
        <v>61</v>
      </c>
      <c r="D283" s="26" t="s">
        <v>62</v>
      </c>
      <c r="E283" s="26" t="s">
        <v>63</v>
      </c>
      <c r="F283" s="26" t="s">
        <v>22</v>
      </c>
      <c r="G283" s="26" t="s">
        <v>64</v>
      </c>
      <c r="H283" s="26" t="s">
        <v>24</v>
      </c>
      <c r="I283" s="26" t="s">
        <v>75</v>
      </c>
      <c r="J283" s="27">
        <v>1</v>
      </c>
      <c r="K283" s="28">
        <v>429.13</v>
      </c>
      <c r="L283" s="27">
        <v>0</v>
      </c>
      <c r="M283" s="22">
        <f t="shared" si="4"/>
        <v>0</v>
      </c>
      <c r="N283" s="28">
        <v>429.13</v>
      </c>
      <c r="O283" s="28">
        <v>290</v>
      </c>
      <c r="P283" s="28">
        <v>139.13</v>
      </c>
      <c r="Q283" s="72" t="str">
        <f>IF(retail_store_performance_dashbo!$P283&gt;0,"Profit",IF(retail_store_performance_dashbo!$P283&lt;0,"Loss","Break Even"))</f>
        <v>Profit</v>
      </c>
      <c r="R283" s="62" t="str" cm="1">
        <f t="array" ref="R283">_xlfn.IFS(L283=0,"No Discount",L283&lt;=5,"Low Discount",L283&lt;=10,"Medium Discount",L283&lt;=20,"High Discount")</f>
        <v>No Discount</v>
      </c>
      <c r="S283" s="26" t="s">
        <v>35</v>
      </c>
      <c r="T283" s="26" t="s">
        <v>36</v>
      </c>
      <c r="U283" s="29">
        <v>3.2</v>
      </c>
      <c r="V283" s="75" t="str" cm="1">
        <f t="array" ref="V283">_xlfn.IFS(U283=0,"Not Rated",U283&gt;=4.5,"High Rating",U283&gt;=3,"Medium Rating",U283&lt;3,"Low Rating")</f>
        <v>Medium Rating</v>
      </c>
    </row>
    <row r="284" spans="1:22" x14ac:dyDescent="0.3">
      <c r="A284" s="18" t="s">
        <v>324</v>
      </c>
      <c r="B284" s="19">
        <v>46153</v>
      </c>
      <c r="C284" s="20" t="s">
        <v>38</v>
      </c>
      <c r="D284" s="20" t="s">
        <v>39</v>
      </c>
      <c r="E284" s="20" t="s">
        <v>39</v>
      </c>
      <c r="F284" s="20" t="s">
        <v>32</v>
      </c>
      <c r="G284" s="20" t="s">
        <v>40</v>
      </c>
      <c r="H284" s="20" t="s">
        <v>24</v>
      </c>
      <c r="I284" s="20" t="s">
        <v>66</v>
      </c>
      <c r="J284" s="21">
        <v>3</v>
      </c>
      <c r="K284" s="22">
        <v>568.09</v>
      </c>
      <c r="L284" s="21">
        <v>15</v>
      </c>
      <c r="M284" s="22">
        <f t="shared" si="4"/>
        <v>255.6405</v>
      </c>
      <c r="N284" s="22">
        <v>1448.63</v>
      </c>
      <c r="O284" s="22">
        <v>1020</v>
      </c>
      <c r="P284" s="22">
        <v>428.63</v>
      </c>
      <c r="Q284" s="62" t="str">
        <f>IF(retail_store_performance_dashbo!$P284&gt;0,"Profit",IF(retail_store_performance_dashbo!$P284&lt;0,"Loss","Break Even"))</f>
        <v>Profit</v>
      </c>
      <c r="R284" s="62" t="str" cm="1">
        <f t="array" ref="R284">_xlfn.IFS(L284=0,"No Discount",L284&lt;=5,"Low Discount",L284&lt;=10,"Medium Discount",L284&lt;=20,"High Discount")</f>
        <v>High Discount</v>
      </c>
      <c r="S284" s="20" t="s">
        <v>67</v>
      </c>
      <c r="T284" s="20" t="s">
        <v>36</v>
      </c>
      <c r="U284" s="23">
        <v>5</v>
      </c>
      <c r="V284" s="75" t="str" cm="1">
        <f t="array" ref="V284">_xlfn.IFS(U284=0,"Not Rated",U284&gt;=4.5,"High Rating",U284&gt;=3,"Medium Rating",U284&lt;3,"Low Rating")</f>
        <v>High Rating</v>
      </c>
    </row>
    <row r="285" spans="1:22" x14ac:dyDescent="0.3">
      <c r="A285" s="24" t="s">
        <v>152</v>
      </c>
      <c r="B285" s="25">
        <v>46154</v>
      </c>
      <c r="C285" s="26" t="s">
        <v>77</v>
      </c>
      <c r="D285" s="26" t="s">
        <v>78</v>
      </c>
      <c r="E285" s="26" t="s">
        <v>79</v>
      </c>
      <c r="F285" s="26" t="s">
        <v>80</v>
      </c>
      <c r="G285" s="26" t="s">
        <v>81</v>
      </c>
      <c r="H285" s="26" t="s">
        <v>24</v>
      </c>
      <c r="I285" s="26" t="s">
        <v>66</v>
      </c>
      <c r="J285" s="27">
        <v>6</v>
      </c>
      <c r="K285" s="28">
        <v>542.82000000000005</v>
      </c>
      <c r="L285" s="27">
        <v>5</v>
      </c>
      <c r="M285" s="22">
        <f t="shared" si="4"/>
        <v>162.846</v>
      </c>
      <c r="N285" s="28">
        <v>3094.07</v>
      </c>
      <c r="O285" s="28">
        <v>2040</v>
      </c>
      <c r="P285" s="28">
        <v>1054.07</v>
      </c>
      <c r="Q285" s="72" t="str">
        <f>IF(retail_store_performance_dashbo!$P285&gt;0,"Profit",IF(retail_store_performance_dashbo!$P285&lt;0,"Loss","Break Even"))</f>
        <v>Profit</v>
      </c>
      <c r="R285" s="62" t="str" cm="1">
        <f t="array" ref="R285">_xlfn.IFS(L285=0,"No Discount",L285&lt;=5,"Low Discount",L285&lt;=10,"Medium Discount",L285&lt;=20,"High Discount")</f>
        <v>Low Discount</v>
      </c>
      <c r="S285" s="26" t="s">
        <v>67</v>
      </c>
      <c r="T285" s="26" t="s">
        <v>36</v>
      </c>
      <c r="U285" s="29">
        <v>3</v>
      </c>
      <c r="V285" s="75" t="str" cm="1">
        <f t="array" ref="V285">_xlfn.IFS(U285=0,"Not Rated",U285&gt;=4.5,"High Rating",U285&gt;=3,"Medium Rating",U285&lt;3,"Low Rating")</f>
        <v>Medium Rating</v>
      </c>
    </row>
    <row r="286" spans="1:22" x14ac:dyDescent="0.3">
      <c r="A286" s="18" t="s">
        <v>206</v>
      </c>
      <c r="B286" s="19">
        <v>46154</v>
      </c>
      <c r="C286" s="20" t="s">
        <v>19</v>
      </c>
      <c r="D286" s="20" t="s">
        <v>20</v>
      </c>
      <c r="E286" s="20" t="s">
        <v>21</v>
      </c>
      <c r="F286" s="20" t="s">
        <v>22</v>
      </c>
      <c r="G286" s="20" t="s">
        <v>23</v>
      </c>
      <c r="H286" s="20" t="s">
        <v>24</v>
      </c>
      <c r="I286" s="20" t="s">
        <v>75</v>
      </c>
      <c r="J286" s="21">
        <v>3</v>
      </c>
      <c r="K286" s="22">
        <v>465.14</v>
      </c>
      <c r="L286" s="21">
        <v>5</v>
      </c>
      <c r="M286" s="22">
        <f t="shared" si="4"/>
        <v>69.771000000000001</v>
      </c>
      <c r="N286" s="22">
        <v>0</v>
      </c>
      <c r="O286" s="22">
        <v>870</v>
      </c>
      <c r="P286" s="22">
        <v>0</v>
      </c>
      <c r="Q286" s="62" t="str">
        <f>IF(retail_store_performance_dashbo!$P286&gt;0,"Profit",IF(retail_store_performance_dashbo!$P286&lt;0,"Loss","Break Even"))</f>
        <v>Break Even</v>
      </c>
      <c r="R286" s="62" t="str" cm="1">
        <f t="array" ref="R286">_xlfn.IFS(L286=0,"No Discount",L286&lt;=5,"Low Discount",L286&lt;=10,"Medium Discount",L286&lt;=20,"High Discount")</f>
        <v>Low Discount</v>
      </c>
      <c r="S286" s="20" t="s">
        <v>26</v>
      </c>
      <c r="T286" s="20" t="s">
        <v>83</v>
      </c>
      <c r="U286" s="23">
        <v>0</v>
      </c>
      <c r="V286" s="75" t="str" cm="1">
        <f t="array" ref="V286">_xlfn.IFS(U286=0,"Not Rated",U286&gt;=4.5,"High Rating",U286&gt;=3,"Medium Rating",U286&lt;3,"Low Rating")</f>
        <v>Not Rated</v>
      </c>
    </row>
    <row r="287" spans="1:22" x14ac:dyDescent="0.3">
      <c r="A287" s="24" t="s">
        <v>272</v>
      </c>
      <c r="B287" s="25">
        <v>46154</v>
      </c>
      <c r="C287" s="26" t="s">
        <v>29</v>
      </c>
      <c r="D287" s="26" t="s">
        <v>30</v>
      </c>
      <c r="E287" s="26" t="s">
        <v>31</v>
      </c>
      <c r="F287" s="26" t="s">
        <v>32</v>
      </c>
      <c r="G287" s="26" t="s">
        <v>33</v>
      </c>
      <c r="H287" s="26" t="s">
        <v>41</v>
      </c>
      <c r="I287" s="26" t="s">
        <v>42</v>
      </c>
      <c r="J287" s="27">
        <v>3</v>
      </c>
      <c r="K287" s="28">
        <v>4526.12</v>
      </c>
      <c r="L287" s="27">
        <v>0</v>
      </c>
      <c r="M287" s="22">
        <f t="shared" si="4"/>
        <v>0</v>
      </c>
      <c r="N287" s="28">
        <v>13578.36</v>
      </c>
      <c r="O287" s="28">
        <v>8700</v>
      </c>
      <c r="P287" s="28">
        <v>4878.3599999999997</v>
      </c>
      <c r="Q287" s="72" t="str">
        <f>IF(retail_store_performance_dashbo!$P287&gt;0,"Profit",IF(retail_store_performance_dashbo!$P287&lt;0,"Loss","Break Even"))</f>
        <v>Profit</v>
      </c>
      <c r="R287" s="62" t="str" cm="1">
        <f t="array" ref="R287">_xlfn.IFS(L287=0,"No Discount",L287&lt;=5,"Low Discount",L287&lt;=10,"Medium Discount",L287&lt;=20,"High Discount")</f>
        <v>No Discount</v>
      </c>
      <c r="S287" s="26" t="s">
        <v>26</v>
      </c>
      <c r="T287" s="26" t="s">
        <v>36</v>
      </c>
      <c r="U287" s="29">
        <v>4.2</v>
      </c>
      <c r="V287" s="75" t="str" cm="1">
        <f t="array" ref="V287">_xlfn.IFS(U287=0,"Not Rated",U287&gt;=4.5,"High Rating",U287&gt;=3,"Medium Rating",U287&lt;3,"Low Rating")</f>
        <v>Medium Rating</v>
      </c>
    </row>
    <row r="288" spans="1:22" x14ac:dyDescent="0.3">
      <c r="A288" s="18" t="s">
        <v>415</v>
      </c>
      <c r="B288" s="19">
        <v>46154</v>
      </c>
      <c r="C288" s="20" t="s">
        <v>38</v>
      </c>
      <c r="D288" s="20" t="s">
        <v>39</v>
      </c>
      <c r="E288" s="20" t="s">
        <v>39</v>
      </c>
      <c r="F288" s="20" t="s">
        <v>32</v>
      </c>
      <c r="G288" s="20" t="s">
        <v>40</v>
      </c>
      <c r="H288" s="20" t="s">
        <v>58</v>
      </c>
      <c r="I288" s="20" t="s">
        <v>59</v>
      </c>
      <c r="J288" s="21">
        <v>2</v>
      </c>
      <c r="K288" s="22">
        <v>4980.3500000000004</v>
      </c>
      <c r="L288" s="21">
        <v>0</v>
      </c>
      <c r="M288" s="22">
        <f t="shared" si="4"/>
        <v>0</v>
      </c>
      <c r="N288" s="22">
        <v>9960.7000000000007</v>
      </c>
      <c r="O288" s="22">
        <v>7200</v>
      </c>
      <c r="P288" s="22">
        <v>2760.7</v>
      </c>
      <c r="Q288" s="62" t="str">
        <f>IF(retail_store_performance_dashbo!$P288&gt;0,"Profit",IF(retail_store_performance_dashbo!$P288&lt;0,"Loss","Break Even"))</f>
        <v>Profit</v>
      </c>
      <c r="R288" s="62" t="str" cm="1">
        <f t="array" ref="R288">_xlfn.IFS(L288=0,"No Discount",L288&lt;=5,"Low Discount",L288&lt;=10,"Medium Discount",L288&lt;=20,"High Discount")</f>
        <v>No Discount</v>
      </c>
      <c r="S288" s="20" t="s">
        <v>35</v>
      </c>
      <c r="T288" s="20" t="s">
        <v>36</v>
      </c>
      <c r="U288" s="23">
        <v>3.2</v>
      </c>
      <c r="V288" s="75" t="str" cm="1">
        <f t="array" ref="V288">_xlfn.IFS(U288=0,"Not Rated",U288&gt;=4.5,"High Rating",U288&gt;=3,"Medium Rating",U288&lt;3,"Low Rating")</f>
        <v>Medium Rating</v>
      </c>
    </row>
    <row r="289" spans="1:22" x14ac:dyDescent="0.3">
      <c r="A289" s="24" t="s">
        <v>495</v>
      </c>
      <c r="B289" s="25">
        <v>46154</v>
      </c>
      <c r="C289" s="26" t="s">
        <v>38</v>
      </c>
      <c r="D289" s="26" t="s">
        <v>39</v>
      </c>
      <c r="E289" s="26" t="s">
        <v>39</v>
      </c>
      <c r="F289" s="26" t="s">
        <v>32</v>
      </c>
      <c r="G289" s="26" t="s">
        <v>40</v>
      </c>
      <c r="H289" s="26" t="s">
        <v>24</v>
      </c>
      <c r="I289" s="26" t="s">
        <v>66</v>
      </c>
      <c r="J289" s="27">
        <v>4</v>
      </c>
      <c r="K289" s="28">
        <v>554.72</v>
      </c>
      <c r="L289" s="27">
        <v>0</v>
      </c>
      <c r="M289" s="22">
        <f t="shared" si="4"/>
        <v>0</v>
      </c>
      <c r="N289" s="28">
        <v>2218.88</v>
      </c>
      <c r="O289" s="28">
        <v>1360</v>
      </c>
      <c r="P289" s="28">
        <v>858.88</v>
      </c>
      <c r="Q289" s="72" t="str">
        <f>IF(retail_store_performance_dashbo!$P289&gt;0,"Profit",IF(retail_store_performance_dashbo!$P289&lt;0,"Loss","Break Even"))</f>
        <v>Profit</v>
      </c>
      <c r="R289" s="62" t="str" cm="1">
        <f t="array" ref="R289">_xlfn.IFS(L289=0,"No Discount",L289&lt;=5,"Low Discount",L289&lt;=10,"Medium Discount",L289&lt;=20,"High Discount")</f>
        <v>No Discount</v>
      </c>
      <c r="S289" s="26" t="s">
        <v>70</v>
      </c>
      <c r="T289" s="26" t="s">
        <v>36</v>
      </c>
      <c r="U289" s="29">
        <v>4.5</v>
      </c>
      <c r="V289" s="75" t="str" cm="1">
        <f t="array" ref="V289">_xlfn.IFS(U289=0,"Not Rated",U289&gt;=4.5,"High Rating",U289&gt;=3,"Medium Rating",U289&lt;3,"Low Rating")</f>
        <v>High Rating</v>
      </c>
    </row>
    <row r="290" spans="1:22" x14ac:dyDescent="0.3">
      <c r="A290" s="18" t="s">
        <v>145</v>
      </c>
      <c r="B290" s="19">
        <v>46155</v>
      </c>
      <c r="C290" s="20" t="s">
        <v>146</v>
      </c>
      <c r="D290" s="20" t="s">
        <v>147</v>
      </c>
      <c r="E290" s="20" t="s">
        <v>148</v>
      </c>
      <c r="F290" s="20" t="s">
        <v>22</v>
      </c>
      <c r="G290" s="20" t="s">
        <v>149</v>
      </c>
      <c r="H290" s="20" t="s">
        <v>58</v>
      </c>
      <c r="I290" s="20" t="s">
        <v>59</v>
      </c>
      <c r="J290" s="21">
        <v>3</v>
      </c>
      <c r="K290" s="22">
        <v>5277.08</v>
      </c>
      <c r="L290" s="21">
        <v>0</v>
      </c>
      <c r="M290" s="22">
        <f t="shared" si="4"/>
        <v>0</v>
      </c>
      <c r="N290" s="22">
        <v>-15831.24</v>
      </c>
      <c r="O290" s="22">
        <v>10800</v>
      </c>
      <c r="P290" s="22">
        <v>-26631.24</v>
      </c>
      <c r="Q290" s="62" t="str">
        <f>IF(retail_store_performance_dashbo!$P290&gt;0,"Profit",IF(retail_store_performance_dashbo!$P290&lt;0,"Loss","Break Even"))</f>
        <v>Loss</v>
      </c>
      <c r="R290" s="62" t="str" cm="1">
        <f t="array" ref="R290">_xlfn.IFS(L290=0,"No Discount",L290&lt;=5,"Low Discount",L290&lt;=10,"Medium Discount",L290&lt;=20,"High Discount")</f>
        <v>No Discount</v>
      </c>
      <c r="S290" s="20" t="s">
        <v>67</v>
      </c>
      <c r="T290" s="20" t="s">
        <v>27</v>
      </c>
      <c r="U290" s="23">
        <v>4.4000000000000004</v>
      </c>
      <c r="V290" s="75" t="str" cm="1">
        <f t="array" ref="V290">_xlfn.IFS(U290=0,"Not Rated",U290&gt;=4.5,"High Rating",U290&gt;=3,"Medium Rating",U290&lt;3,"Low Rating")</f>
        <v>Medium Rating</v>
      </c>
    </row>
    <row r="291" spans="1:22" x14ac:dyDescent="0.3">
      <c r="A291" s="24" t="s">
        <v>307</v>
      </c>
      <c r="B291" s="25">
        <v>46155</v>
      </c>
      <c r="C291" s="26" t="s">
        <v>61</v>
      </c>
      <c r="D291" s="26" t="s">
        <v>62</v>
      </c>
      <c r="E291" s="26" t="s">
        <v>63</v>
      </c>
      <c r="F291" s="26" t="s">
        <v>22</v>
      </c>
      <c r="G291" s="26" t="s">
        <v>64</v>
      </c>
      <c r="H291" s="26" t="s">
        <v>58</v>
      </c>
      <c r="I291" s="26" t="s">
        <v>59</v>
      </c>
      <c r="J291" s="27">
        <v>6</v>
      </c>
      <c r="K291" s="28">
        <v>4951.6499999999996</v>
      </c>
      <c r="L291" s="27">
        <v>5</v>
      </c>
      <c r="M291" s="22">
        <f t="shared" si="4"/>
        <v>1485.4949999999999</v>
      </c>
      <c r="N291" s="28">
        <v>28224.400000000001</v>
      </c>
      <c r="O291" s="28">
        <v>21600</v>
      </c>
      <c r="P291" s="28">
        <v>6624.4</v>
      </c>
      <c r="Q291" s="72" t="str">
        <f>IF(retail_store_performance_dashbo!$P291&gt;0,"Profit",IF(retail_store_performance_dashbo!$P291&lt;0,"Loss","Break Even"))</f>
        <v>Profit</v>
      </c>
      <c r="R291" s="62" t="str" cm="1">
        <f t="array" ref="R291">_xlfn.IFS(L291=0,"No Discount",L291&lt;=5,"Low Discount",L291&lt;=10,"Medium Discount",L291&lt;=20,"High Discount")</f>
        <v>Low Discount</v>
      </c>
      <c r="S291" s="26" t="s">
        <v>35</v>
      </c>
      <c r="T291" s="26" t="s">
        <v>36</v>
      </c>
      <c r="U291" s="29">
        <v>4.5999999999999996</v>
      </c>
      <c r="V291" s="75" t="str" cm="1">
        <f t="array" ref="V291">_xlfn.IFS(U291=0,"Not Rated",U291&gt;=4.5,"High Rating",U291&gt;=3,"Medium Rating",U291&lt;3,"Low Rating")</f>
        <v>High Rating</v>
      </c>
    </row>
    <row r="292" spans="1:22" x14ac:dyDescent="0.3">
      <c r="A292" s="18" t="s">
        <v>537</v>
      </c>
      <c r="B292" s="19">
        <v>46155</v>
      </c>
      <c r="C292" s="20" t="s">
        <v>146</v>
      </c>
      <c r="D292" s="20" t="s">
        <v>147</v>
      </c>
      <c r="E292" s="20" t="s">
        <v>148</v>
      </c>
      <c r="F292" s="20" t="s">
        <v>22</v>
      </c>
      <c r="G292" s="20" t="s">
        <v>149</v>
      </c>
      <c r="H292" s="20" t="s">
        <v>45</v>
      </c>
      <c r="I292" s="20" t="s">
        <v>88</v>
      </c>
      <c r="J292" s="21">
        <v>4</v>
      </c>
      <c r="K292" s="22">
        <v>912.98</v>
      </c>
      <c r="L292" s="21">
        <v>5</v>
      </c>
      <c r="M292" s="22">
        <f t="shared" si="4"/>
        <v>182.59599999999998</v>
      </c>
      <c r="N292" s="22">
        <v>0</v>
      </c>
      <c r="O292" s="22">
        <v>2000</v>
      </c>
      <c r="P292" s="22">
        <v>0</v>
      </c>
      <c r="Q292" s="62" t="str">
        <f>IF(retail_store_performance_dashbo!$P292&gt;0,"Profit",IF(retail_store_performance_dashbo!$P292&lt;0,"Loss","Break Even"))</f>
        <v>Break Even</v>
      </c>
      <c r="R292" s="62" t="str" cm="1">
        <f t="array" ref="R292">_xlfn.IFS(L292=0,"No Discount",L292&lt;=5,"Low Discount",L292&lt;=10,"Medium Discount",L292&lt;=20,"High Discount")</f>
        <v>Low Discount</v>
      </c>
      <c r="S292" s="20" t="s">
        <v>43</v>
      </c>
      <c r="T292" s="20" t="s">
        <v>83</v>
      </c>
      <c r="U292" s="23">
        <v>0</v>
      </c>
      <c r="V292" s="75" t="str" cm="1">
        <f t="array" ref="V292">_xlfn.IFS(U292=0,"Not Rated",U292&gt;=4.5,"High Rating",U292&gt;=3,"Medium Rating",U292&lt;3,"Low Rating")</f>
        <v>Not Rated</v>
      </c>
    </row>
    <row r="293" spans="1:22" x14ac:dyDescent="0.3">
      <c r="A293" s="24" t="s">
        <v>369</v>
      </c>
      <c r="B293" s="25">
        <v>46156</v>
      </c>
      <c r="C293" s="26" t="s">
        <v>97</v>
      </c>
      <c r="D293" s="26" t="s">
        <v>98</v>
      </c>
      <c r="E293" s="26" t="s">
        <v>99</v>
      </c>
      <c r="F293" s="26" t="s">
        <v>54</v>
      </c>
      <c r="G293" s="26" t="s">
        <v>100</v>
      </c>
      <c r="H293" s="26" t="s">
        <v>45</v>
      </c>
      <c r="I293" s="26" t="s">
        <v>124</v>
      </c>
      <c r="J293" s="27">
        <v>2</v>
      </c>
      <c r="K293" s="28">
        <v>4201.09</v>
      </c>
      <c r="L293" s="27">
        <v>10</v>
      </c>
      <c r="M293" s="22">
        <f t="shared" si="4"/>
        <v>840.21800000000007</v>
      </c>
      <c r="N293" s="28">
        <v>7561.96</v>
      </c>
      <c r="O293" s="28">
        <v>5200</v>
      </c>
      <c r="P293" s="28">
        <v>2361.96</v>
      </c>
      <c r="Q293" s="72" t="str">
        <f>IF(retail_store_performance_dashbo!$P293&gt;0,"Profit",IF(retail_store_performance_dashbo!$P293&lt;0,"Loss","Break Even"))</f>
        <v>Profit</v>
      </c>
      <c r="R293" s="62" t="str" cm="1">
        <f t="array" ref="R293">_xlfn.IFS(L293=0,"No Discount",L293&lt;=5,"Low Discount",L293&lt;=10,"Medium Discount",L293&lt;=20,"High Discount")</f>
        <v>Medium Discount</v>
      </c>
      <c r="S293" s="26" t="s">
        <v>70</v>
      </c>
      <c r="T293" s="26" t="s">
        <v>36</v>
      </c>
      <c r="U293" s="29">
        <v>4.5999999999999996</v>
      </c>
      <c r="V293" s="75" t="str" cm="1">
        <f t="array" ref="V293">_xlfn.IFS(U293=0,"Not Rated",U293&gt;=4.5,"High Rating",U293&gt;=3,"Medium Rating",U293&lt;3,"Low Rating")</f>
        <v>High Rating</v>
      </c>
    </row>
    <row r="294" spans="1:22" x14ac:dyDescent="0.3">
      <c r="A294" s="18" t="s">
        <v>284</v>
      </c>
      <c r="B294" s="19">
        <v>46158</v>
      </c>
      <c r="C294" s="20" t="s">
        <v>19</v>
      </c>
      <c r="D294" s="20" t="s">
        <v>20</v>
      </c>
      <c r="E294" s="20" t="s">
        <v>21</v>
      </c>
      <c r="F294" s="20" t="s">
        <v>22</v>
      </c>
      <c r="G294" s="20" t="s">
        <v>23</v>
      </c>
      <c r="H294" s="20" t="s">
        <v>58</v>
      </c>
      <c r="I294" s="20" t="s">
        <v>72</v>
      </c>
      <c r="J294" s="21">
        <v>1</v>
      </c>
      <c r="K294" s="22">
        <v>3783.29</v>
      </c>
      <c r="L294" s="21">
        <v>0</v>
      </c>
      <c r="M294" s="22">
        <f t="shared" si="4"/>
        <v>0</v>
      </c>
      <c r="N294" s="22">
        <v>3783.29</v>
      </c>
      <c r="O294" s="22">
        <v>2700</v>
      </c>
      <c r="P294" s="22">
        <v>1083.29</v>
      </c>
      <c r="Q294" s="62" t="str">
        <f>IF(retail_store_performance_dashbo!$P294&gt;0,"Profit",IF(retail_store_performance_dashbo!$P294&lt;0,"Loss","Break Even"))</f>
        <v>Profit</v>
      </c>
      <c r="R294" s="62" t="str" cm="1">
        <f t="array" ref="R294">_xlfn.IFS(L294=0,"No Discount",L294&lt;=5,"Low Discount",L294&lt;=10,"Medium Discount",L294&lt;=20,"High Discount")</f>
        <v>No Discount</v>
      </c>
      <c r="S294" s="20" t="s">
        <v>43</v>
      </c>
      <c r="T294" s="20" t="s">
        <v>36</v>
      </c>
      <c r="U294" s="23">
        <v>3.4</v>
      </c>
      <c r="V294" s="75" t="str" cm="1">
        <f t="array" ref="V294">_xlfn.IFS(U294=0,"Not Rated",U294&gt;=4.5,"High Rating",U294&gt;=3,"Medium Rating",U294&lt;3,"Low Rating")</f>
        <v>Medium Rating</v>
      </c>
    </row>
    <row r="295" spans="1:22" x14ac:dyDescent="0.3">
      <c r="A295" s="24" t="s">
        <v>314</v>
      </c>
      <c r="B295" s="25">
        <v>46159</v>
      </c>
      <c r="C295" s="26" t="s">
        <v>51</v>
      </c>
      <c r="D295" s="26" t="s">
        <v>52</v>
      </c>
      <c r="E295" s="26" t="s">
        <v>53</v>
      </c>
      <c r="F295" s="26" t="s">
        <v>54</v>
      </c>
      <c r="G295" s="26" t="s">
        <v>55</v>
      </c>
      <c r="H295" s="26" t="s">
        <v>45</v>
      </c>
      <c r="I295" s="26" t="s">
        <v>46</v>
      </c>
      <c r="J295" s="27">
        <v>2</v>
      </c>
      <c r="K295" s="28">
        <v>3093.86</v>
      </c>
      <c r="L295" s="27">
        <v>5</v>
      </c>
      <c r="M295" s="22">
        <f t="shared" si="4"/>
        <v>309.38600000000002</v>
      </c>
      <c r="N295" s="28">
        <v>5878.33</v>
      </c>
      <c r="O295" s="28">
        <v>3800</v>
      </c>
      <c r="P295" s="28">
        <v>2078.33</v>
      </c>
      <c r="Q295" s="72" t="str">
        <f>IF(retail_store_performance_dashbo!$P295&gt;0,"Profit",IF(retail_store_performance_dashbo!$P295&lt;0,"Loss","Break Even"))</f>
        <v>Profit</v>
      </c>
      <c r="R295" s="62" t="str" cm="1">
        <f t="array" ref="R295">_xlfn.IFS(L295=0,"No Discount",L295&lt;=5,"Low Discount",L295&lt;=10,"Medium Discount",L295&lt;=20,"High Discount")</f>
        <v>Low Discount</v>
      </c>
      <c r="S295" s="26" t="s">
        <v>26</v>
      </c>
      <c r="T295" s="26" t="s">
        <v>36</v>
      </c>
      <c r="U295" s="29">
        <v>4.4000000000000004</v>
      </c>
      <c r="V295" s="75" t="str" cm="1">
        <f t="array" ref="V295">_xlfn.IFS(U295=0,"Not Rated",U295&gt;=4.5,"High Rating",U295&gt;=3,"Medium Rating",U295&lt;3,"Low Rating")</f>
        <v>Medium Rating</v>
      </c>
    </row>
    <row r="296" spans="1:22" x14ac:dyDescent="0.3">
      <c r="A296" s="18" t="s">
        <v>342</v>
      </c>
      <c r="B296" s="19">
        <v>46159</v>
      </c>
      <c r="C296" s="20" t="s">
        <v>38</v>
      </c>
      <c r="D296" s="20" t="s">
        <v>39</v>
      </c>
      <c r="E296" s="20" t="s">
        <v>39</v>
      </c>
      <c r="F296" s="20" t="s">
        <v>32</v>
      </c>
      <c r="G296" s="20" t="s">
        <v>40</v>
      </c>
      <c r="H296" s="20" t="s">
        <v>58</v>
      </c>
      <c r="I296" s="20" t="s">
        <v>69</v>
      </c>
      <c r="J296" s="21">
        <v>2</v>
      </c>
      <c r="K296" s="22">
        <v>732.29</v>
      </c>
      <c r="L296" s="21">
        <v>10</v>
      </c>
      <c r="M296" s="22">
        <f t="shared" si="4"/>
        <v>146.458</v>
      </c>
      <c r="N296" s="22">
        <v>1318.12</v>
      </c>
      <c r="O296" s="22">
        <v>800</v>
      </c>
      <c r="P296" s="22">
        <v>518.12</v>
      </c>
      <c r="Q296" s="62" t="str">
        <f>IF(retail_store_performance_dashbo!$P296&gt;0,"Profit",IF(retail_store_performance_dashbo!$P296&lt;0,"Loss","Break Even"))</f>
        <v>Profit</v>
      </c>
      <c r="R296" s="62" t="str" cm="1">
        <f t="array" ref="R296">_xlfn.IFS(L296=0,"No Discount",L296&lt;=5,"Low Discount",L296&lt;=10,"Medium Discount",L296&lt;=20,"High Discount")</f>
        <v>Medium Discount</v>
      </c>
      <c r="S296" s="20" t="s">
        <v>67</v>
      </c>
      <c r="T296" s="20" t="s">
        <v>36</v>
      </c>
      <c r="U296" s="23">
        <v>3.8</v>
      </c>
      <c r="V296" s="75" t="str" cm="1">
        <f t="array" ref="V296">_xlfn.IFS(U296=0,"Not Rated",U296&gt;=4.5,"High Rating",U296&gt;=3,"Medium Rating",U296&lt;3,"Low Rating")</f>
        <v>Medium Rating</v>
      </c>
    </row>
    <row r="297" spans="1:22" x14ac:dyDescent="0.3">
      <c r="A297" s="24" t="s">
        <v>345</v>
      </c>
      <c r="B297" s="25">
        <v>46159</v>
      </c>
      <c r="C297" s="26" t="s">
        <v>38</v>
      </c>
      <c r="D297" s="26" t="s">
        <v>39</v>
      </c>
      <c r="E297" s="26" t="s">
        <v>39</v>
      </c>
      <c r="F297" s="26" t="s">
        <v>32</v>
      </c>
      <c r="G297" s="26" t="s">
        <v>40</v>
      </c>
      <c r="H297" s="26" t="s">
        <v>58</v>
      </c>
      <c r="I297" s="26" t="s">
        <v>69</v>
      </c>
      <c r="J297" s="27">
        <v>4</v>
      </c>
      <c r="K297" s="28">
        <v>701.18</v>
      </c>
      <c r="L297" s="27">
        <v>20</v>
      </c>
      <c r="M297" s="22">
        <f t="shared" si="4"/>
        <v>560.94399999999996</v>
      </c>
      <c r="N297" s="28">
        <v>2243.7800000000002</v>
      </c>
      <c r="O297" s="28">
        <v>1600</v>
      </c>
      <c r="P297" s="28">
        <v>643.78</v>
      </c>
      <c r="Q297" s="72" t="str">
        <f>IF(retail_store_performance_dashbo!$P297&gt;0,"Profit",IF(retail_store_performance_dashbo!$P297&lt;0,"Loss","Break Even"))</f>
        <v>Profit</v>
      </c>
      <c r="R297" s="62" t="str" cm="1">
        <f t="array" ref="R297">_xlfn.IFS(L297=0,"No Discount",L297&lt;=5,"Low Discount",L297&lt;=10,"Medium Discount",L297&lt;=20,"High Discount")</f>
        <v>High Discount</v>
      </c>
      <c r="S297" s="26" t="s">
        <v>26</v>
      </c>
      <c r="T297" s="26" t="s">
        <v>36</v>
      </c>
      <c r="U297" s="29">
        <v>4.0999999999999996</v>
      </c>
      <c r="V297" s="75" t="str" cm="1">
        <f t="array" ref="V297">_xlfn.IFS(U297=0,"Not Rated",U297&gt;=4.5,"High Rating",U297&gt;=3,"Medium Rating",U297&lt;3,"Low Rating")</f>
        <v>Medium Rating</v>
      </c>
    </row>
    <row r="298" spans="1:22" x14ac:dyDescent="0.3">
      <c r="A298" s="18" t="s">
        <v>490</v>
      </c>
      <c r="B298" s="19">
        <v>46159</v>
      </c>
      <c r="C298" s="20" t="s">
        <v>97</v>
      </c>
      <c r="D298" s="20" t="s">
        <v>98</v>
      </c>
      <c r="E298" s="20" t="s">
        <v>99</v>
      </c>
      <c r="F298" s="20" t="s">
        <v>54</v>
      </c>
      <c r="G298" s="20" t="s">
        <v>100</v>
      </c>
      <c r="H298" s="20" t="s">
        <v>41</v>
      </c>
      <c r="I298" s="20" t="s">
        <v>106</v>
      </c>
      <c r="J298" s="21">
        <v>3</v>
      </c>
      <c r="K298" s="22">
        <v>21266.33</v>
      </c>
      <c r="L298" s="21">
        <v>0</v>
      </c>
      <c r="M298" s="22">
        <f t="shared" si="4"/>
        <v>0</v>
      </c>
      <c r="N298" s="22">
        <v>63798.99</v>
      </c>
      <c r="O298" s="22">
        <v>48000</v>
      </c>
      <c r="P298" s="22">
        <v>15798.99</v>
      </c>
      <c r="Q298" s="62" t="str">
        <f>IF(retail_store_performance_dashbo!$P298&gt;0,"Profit",IF(retail_store_performance_dashbo!$P298&lt;0,"Loss","Break Even"))</f>
        <v>Profit</v>
      </c>
      <c r="R298" s="62" t="str" cm="1">
        <f t="array" ref="R298">_xlfn.IFS(L298=0,"No Discount",L298&lt;=5,"Low Discount",L298&lt;=10,"Medium Discount",L298&lt;=20,"High Discount")</f>
        <v>No Discount</v>
      </c>
      <c r="S298" s="20" t="s">
        <v>26</v>
      </c>
      <c r="T298" s="20" t="s">
        <v>36</v>
      </c>
      <c r="U298" s="23">
        <v>4.0999999999999996</v>
      </c>
      <c r="V298" s="75" t="str" cm="1">
        <f t="array" ref="V298">_xlfn.IFS(U298=0,"Not Rated",U298&gt;=4.5,"High Rating",U298&gt;=3,"Medium Rating",U298&lt;3,"Low Rating")</f>
        <v>Medium Rating</v>
      </c>
    </row>
    <row r="299" spans="1:22" x14ac:dyDescent="0.3">
      <c r="A299" s="24" t="s">
        <v>227</v>
      </c>
      <c r="B299" s="25">
        <v>46161</v>
      </c>
      <c r="C299" s="26" t="s">
        <v>51</v>
      </c>
      <c r="D299" s="26" t="s">
        <v>52</v>
      </c>
      <c r="E299" s="26" t="s">
        <v>53</v>
      </c>
      <c r="F299" s="26" t="s">
        <v>54</v>
      </c>
      <c r="G299" s="26" t="s">
        <v>55</v>
      </c>
      <c r="H299" s="26" t="s">
        <v>41</v>
      </c>
      <c r="I299" s="26" t="s">
        <v>42</v>
      </c>
      <c r="J299" s="27">
        <v>3</v>
      </c>
      <c r="K299" s="28">
        <v>4469.29</v>
      </c>
      <c r="L299" s="27">
        <v>15</v>
      </c>
      <c r="M299" s="22">
        <f t="shared" si="4"/>
        <v>2011.1804999999999</v>
      </c>
      <c r="N299" s="28">
        <v>11396.69</v>
      </c>
      <c r="O299" s="28">
        <v>8700</v>
      </c>
      <c r="P299" s="28">
        <v>2696.69</v>
      </c>
      <c r="Q299" s="72" t="str">
        <f>IF(retail_store_performance_dashbo!$P299&gt;0,"Profit",IF(retail_store_performance_dashbo!$P299&lt;0,"Loss","Break Even"))</f>
        <v>Profit</v>
      </c>
      <c r="R299" s="62" t="str" cm="1">
        <f t="array" ref="R299">_xlfn.IFS(L299=0,"No Discount",L299&lt;=5,"Low Discount",L299&lt;=10,"Medium Discount",L299&lt;=20,"High Discount")</f>
        <v>High Discount</v>
      </c>
      <c r="S299" s="26" t="s">
        <v>70</v>
      </c>
      <c r="T299" s="26" t="s">
        <v>36</v>
      </c>
      <c r="U299" s="29">
        <v>4.7</v>
      </c>
      <c r="V299" s="75" t="str" cm="1">
        <f t="array" ref="V299">_xlfn.IFS(U299=0,"Not Rated",U299&gt;=4.5,"High Rating",U299&gt;=3,"Medium Rating",U299&lt;3,"Low Rating")</f>
        <v>High Rating</v>
      </c>
    </row>
    <row r="300" spans="1:22" x14ac:dyDescent="0.3">
      <c r="A300" s="18" t="s">
        <v>229</v>
      </c>
      <c r="B300" s="19">
        <v>46161</v>
      </c>
      <c r="C300" s="20" t="s">
        <v>61</v>
      </c>
      <c r="D300" s="20" t="s">
        <v>62</v>
      </c>
      <c r="E300" s="20" t="s">
        <v>63</v>
      </c>
      <c r="F300" s="20" t="s">
        <v>22</v>
      </c>
      <c r="G300" s="20" t="s">
        <v>64</v>
      </c>
      <c r="H300" s="20" t="s">
        <v>41</v>
      </c>
      <c r="I300" s="20" t="s">
        <v>42</v>
      </c>
      <c r="J300" s="21">
        <v>6</v>
      </c>
      <c r="K300" s="22">
        <v>4550.6400000000003</v>
      </c>
      <c r="L300" s="21">
        <v>0</v>
      </c>
      <c r="M300" s="22">
        <f t="shared" si="4"/>
        <v>0</v>
      </c>
      <c r="N300" s="22">
        <v>27303.84</v>
      </c>
      <c r="O300" s="22">
        <v>17400</v>
      </c>
      <c r="P300" s="22">
        <v>9903.84</v>
      </c>
      <c r="Q300" s="62" t="str">
        <f>IF(retail_store_performance_dashbo!$P300&gt;0,"Profit",IF(retail_store_performance_dashbo!$P300&lt;0,"Loss","Break Even"))</f>
        <v>Profit</v>
      </c>
      <c r="R300" s="62" t="str" cm="1">
        <f t="array" ref="R300">_xlfn.IFS(L300=0,"No Discount",L300&lt;=5,"Low Discount",L300&lt;=10,"Medium Discount",L300&lt;=20,"High Discount")</f>
        <v>No Discount</v>
      </c>
      <c r="S300" s="20" t="s">
        <v>43</v>
      </c>
      <c r="T300" s="20" t="s">
        <v>36</v>
      </c>
      <c r="U300" s="23">
        <v>3.2</v>
      </c>
      <c r="V300" s="75" t="str" cm="1">
        <f t="array" ref="V300">_xlfn.IFS(U300=0,"Not Rated",U300&gt;=4.5,"High Rating",U300&gt;=3,"Medium Rating",U300&lt;3,"Low Rating")</f>
        <v>Medium Rating</v>
      </c>
    </row>
    <row r="301" spans="1:22" x14ac:dyDescent="0.3">
      <c r="A301" s="24" t="s">
        <v>384</v>
      </c>
      <c r="B301" s="25">
        <v>46161</v>
      </c>
      <c r="C301" s="26" t="s">
        <v>146</v>
      </c>
      <c r="D301" s="26" t="s">
        <v>147</v>
      </c>
      <c r="E301" s="26" t="s">
        <v>148</v>
      </c>
      <c r="F301" s="26" t="s">
        <v>22</v>
      </c>
      <c r="G301" s="26" t="s">
        <v>149</v>
      </c>
      <c r="H301" s="26" t="s">
        <v>24</v>
      </c>
      <c r="I301" s="26" t="s">
        <v>25</v>
      </c>
      <c r="J301" s="27">
        <v>2</v>
      </c>
      <c r="K301" s="28">
        <v>361.16</v>
      </c>
      <c r="L301" s="27">
        <v>0</v>
      </c>
      <c r="M301" s="22">
        <f t="shared" si="4"/>
        <v>0</v>
      </c>
      <c r="N301" s="28">
        <v>0</v>
      </c>
      <c r="O301" s="28">
        <v>440</v>
      </c>
      <c r="P301" s="28">
        <v>0</v>
      </c>
      <c r="Q301" s="72" t="str">
        <f>IF(retail_store_performance_dashbo!$P301&gt;0,"Profit",IF(retail_store_performance_dashbo!$P301&lt;0,"Loss","Break Even"))</f>
        <v>Break Even</v>
      </c>
      <c r="R301" s="62" t="str" cm="1">
        <f t="array" ref="R301">_xlfn.IFS(L301=0,"No Discount",L301&lt;=5,"Low Discount",L301&lt;=10,"Medium Discount",L301&lt;=20,"High Discount")</f>
        <v>No Discount</v>
      </c>
      <c r="S301" s="26" t="s">
        <v>43</v>
      </c>
      <c r="T301" s="26" t="s">
        <v>83</v>
      </c>
      <c r="U301" s="29">
        <v>0</v>
      </c>
      <c r="V301" s="75" t="str" cm="1">
        <f t="array" ref="V301">_xlfn.IFS(U301=0,"Not Rated",U301&gt;=4.5,"High Rating",U301&gt;=3,"Medium Rating",U301&lt;3,"Low Rating")</f>
        <v>Not Rated</v>
      </c>
    </row>
    <row r="302" spans="1:22" x14ac:dyDescent="0.3">
      <c r="A302" s="18" t="s">
        <v>553</v>
      </c>
      <c r="B302" s="19">
        <v>46161</v>
      </c>
      <c r="C302" s="20" t="s">
        <v>19</v>
      </c>
      <c r="D302" s="20" t="s">
        <v>20</v>
      </c>
      <c r="E302" s="20" t="s">
        <v>21</v>
      </c>
      <c r="F302" s="20" t="s">
        <v>22</v>
      </c>
      <c r="G302" s="20" t="s">
        <v>23</v>
      </c>
      <c r="H302" s="20" t="s">
        <v>41</v>
      </c>
      <c r="I302" s="20" t="s">
        <v>135</v>
      </c>
      <c r="J302" s="21">
        <v>1</v>
      </c>
      <c r="K302" s="22">
        <v>1803.34</v>
      </c>
      <c r="L302" s="21">
        <v>5</v>
      </c>
      <c r="M302" s="22">
        <f t="shared" si="4"/>
        <v>90.166999999999987</v>
      </c>
      <c r="N302" s="22">
        <v>1713.17</v>
      </c>
      <c r="O302" s="22">
        <v>1100</v>
      </c>
      <c r="P302" s="22">
        <v>613.16999999999996</v>
      </c>
      <c r="Q302" s="62" t="str">
        <f>IF(retail_store_performance_dashbo!$P302&gt;0,"Profit",IF(retail_store_performance_dashbo!$P302&lt;0,"Loss","Break Even"))</f>
        <v>Profit</v>
      </c>
      <c r="R302" s="62" t="str" cm="1">
        <f t="array" ref="R302">_xlfn.IFS(L302=0,"No Discount",L302&lt;=5,"Low Discount",L302&lt;=10,"Medium Discount",L302&lt;=20,"High Discount")</f>
        <v>Low Discount</v>
      </c>
      <c r="S302" s="20" t="s">
        <v>70</v>
      </c>
      <c r="T302" s="20" t="s">
        <v>36</v>
      </c>
      <c r="U302" s="23">
        <v>3.3</v>
      </c>
      <c r="V302" s="75" t="str" cm="1">
        <f t="array" ref="V302">_xlfn.IFS(U302=0,"Not Rated",U302&gt;=4.5,"High Rating",U302&gt;=3,"Medium Rating",U302&lt;3,"Low Rating")</f>
        <v>Medium Rating</v>
      </c>
    </row>
    <row r="303" spans="1:22" x14ac:dyDescent="0.3">
      <c r="A303" s="24" t="s">
        <v>585</v>
      </c>
      <c r="B303" s="25">
        <v>46161</v>
      </c>
      <c r="C303" s="26" t="s">
        <v>146</v>
      </c>
      <c r="D303" s="26" t="s">
        <v>147</v>
      </c>
      <c r="E303" s="26" t="s">
        <v>148</v>
      </c>
      <c r="F303" s="26" t="s">
        <v>22</v>
      </c>
      <c r="G303" s="26" t="s">
        <v>149</v>
      </c>
      <c r="H303" s="26" t="s">
        <v>58</v>
      </c>
      <c r="I303" s="26" t="s">
        <v>82</v>
      </c>
      <c r="J303" s="27">
        <v>1</v>
      </c>
      <c r="K303" s="28">
        <v>2463.89</v>
      </c>
      <c r="L303" s="27">
        <v>5</v>
      </c>
      <c r="M303" s="22">
        <f t="shared" si="4"/>
        <v>123.19449999999999</v>
      </c>
      <c r="N303" s="28">
        <v>2340.6999999999998</v>
      </c>
      <c r="O303" s="28">
        <v>1550</v>
      </c>
      <c r="P303" s="28">
        <v>790.7</v>
      </c>
      <c r="Q303" s="72" t="str">
        <f>IF(retail_store_performance_dashbo!$P303&gt;0,"Profit",IF(retail_store_performance_dashbo!$P303&lt;0,"Loss","Break Even"))</f>
        <v>Profit</v>
      </c>
      <c r="R303" s="62" t="str" cm="1">
        <f t="array" ref="R303">_xlfn.IFS(L303=0,"No Discount",L303&lt;=5,"Low Discount",L303&lt;=10,"Medium Discount",L303&lt;=20,"High Discount")</f>
        <v>Low Discount</v>
      </c>
      <c r="S303" s="26" t="s">
        <v>43</v>
      </c>
      <c r="T303" s="26" t="s">
        <v>36</v>
      </c>
      <c r="U303" s="29">
        <v>5</v>
      </c>
      <c r="V303" s="75" t="str" cm="1">
        <f t="array" ref="V303">_xlfn.IFS(U303=0,"Not Rated",U303&gt;=4.5,"High Rating",U303&gt;=3,"Medium Rating",U303&lt;3,"Low Rating")</f>
        <v>High Rating</v>
      </c>
    </row>
    <row r="304" spans="1:22" x14ac:dyDescent="0.3">
      <c r="A304" s="18" t="s">
        <v>105</v>
      </c>
      <c r="B304" s="19">
        <v>46162</v>
      </c>
      <c r="C304" s="20" t="s">
        <v>97</v>
      </c>
      <c r="D304" s="20" t="s">
        <v>98</v>
      </c>
      <c r="E304" s="20" t="s">
        <v>99</v>
      </c>
      <c r="F304" s="20" t="s">
        <v>54</v>
      </c>
      <c r="G304" s="20" t="s">
        <v>100</v>
      </c>
      <c r="H304" s="20" t="s">
        <v>41</v>
      </c>
      <c r="I304" s="20" t="s">
        <v>106</v>
      </c>
      <c r="J304" s="21">
        <v>3</v>
      </c>
      <c r="K304" s="22">
        <v>22762.39</v>
      </c>
      <c r="L304" s="21">
        <v>10</v>
      </c>
      <c r="M304" s="22">
        <f t="shared" si="4"/>
        <v>6828.7169999999996</v>
      </c>
      <c r="N304" s="22">
        <v>61458.45</v>
      </c>
      <c r="O304" s="22">
        <v>48000</v>
      </c>
      <c r="P304" s="22">
        <v>13458.45</v>
      </c>
      <c r="Q304" s="62" t="str">
        <f>IF(retail_store_performance_dashbo!$P304&gt;0,"Profit",IF(retail_store_performance_dashbo!$P304&lt;0,"Loss","Break Even"))</f>
        <v>Profit</v>
      </c>
      <c r="R304" s="62" t="str" cm="1">
        <f t="array" ref="R304">_xlfn.IFS(L304=0,"No Discount",L304&lt;=5,"Low Discount",L304&lt;=10,"Medium Discount",L304&lt;=20,"High Discount")</f>
        <v>Medium Discount</v>
      </c>
      <c r="S304" s="20" t="s">
        <v>26</v>
      </c>
      <c r="T304" s="20" t="s">
        <v>36</v>
      </c>
      <c r="U304" s="23">
        <v>4.0999999999999996</v>
      </c>
      <c r="V304" s="75" t="str" cm="1">
        <f t="array" ref="V304">_xlfn.IFS(U304=0,"Not Rated",U304&gt;=4.5,"High Rating",U304&gt;=3,"Medium Rating",U304&lt;3,"Low Rating")</f>
        <v>Medium Rating</v>
      </c>
    </row>
    <row r="305" spans="1:22" x14ac:dyDescent="0.3">
      <c r="A305" s="24" t="s">
        <v>128</v>
      </c>
      <c r="B305" s="25">
        <v>46162</v>
      </c>
      <c r="C305" s="26" t="s">
        <v>77</v>
      </c>
      <c r="D305" s="26" t="s">
        <v>78</v>
      </c>
      <c r="E305" s="26" t="s">
        <v>79</v>
      </c>
      <c r="F305" s="26" t="s">
        <v>80</v>
      </c>
      <c r="G305" s="26" t="s">
        <v>81</v>
      </c>
      <c r="H305" s="26" t="s">
        <v>45</v>
      </c>
      <c r="I305" s="26" t="s">
        <v>88</v>
      </c>
      <c r="J305" s="27">
        <v>6</v>
      </c>
      <c r="K305" s="28">
        <v>921.56</v>
      </c>
      <c r="L305" s="27">
        <v>0</v>
      </c>
      <c r="M305" s="22">
        <f t="shared" si="4"/>
        <v>0</v>
      </c>
      <c r="N305" s="28">
        <v>5529.36</v>
      </c>
      <c r="O305" s="28">
        <v>3000</v>
      </c>
      <c r="P305" s="28">
        <v>2529.36</v>
      </c>
      <c r="Q305" s="72" t="str">
        <f>IF(retail_store_performance_dashbo!$P305&gt;0,"Profit",IF(retail_store_performance_dashbo!$P305&lt;0,"Loss","Break Even"))</f>
        <v>Profit</v>
      </c>
      <c r="R305" s="62" t="str" cm="1">
        <f t="array" ref="R305">_xlfn.IFS(L305=0,"No Discount",L305&lt;=5,"Low Discount",L305&lt;=10,"Medium Discount",L305&lt;=20,"High Discount")</f>
        <v>No Discount</v>
      </c>
      <c r="S305" s="26" t="s">
        <v>26</v>
      </c>
      <c r="T305" s="26" t="s">
        <v>36</v>
      </c>
      <c r="U305" s="29">
        <v>4.7</v>
      </c>
      <c r="V305" s="75" t="str" cm="1">
        <f t="array" ref="V305">_xlfn.IFS(U305=0,"Not Rated",U305&gt;=4.5,"High Rating",U305&gt;=3,"Medium Rating",U305&lt;3,"Low Rating")</f>
        <v>High Rating</v>
      </c>
    </row>
    <row r="306" spans="1:22" x14ac:dyDescent="0.3">
      <c r="A306" s="18" t="s">
        <v>274</v>
      </c>
      <c r="B306" s="19">
        <v>46162</v>
      </c>
      <c r="C306" s="20" t="s">
        <v>19</v>
      </c>
      <c r="D306" s="20" t="s">
        <v>20</v>
      </c>
      <c r="E306" s="20" t="s">
        <v>21</v>
      </c>
      <c r="F306" s="20" t="s">
        <v>22</v>
      </c>
      <c r="G306" s="20" t="s">
        <v>23</v>
      </c>
      <c r="H306" s="20" t="s">
        <v>41</v>
      </c>
      <c r="I306" s="20" t="s">
        <v>92</v>
      </c>
      <c r="J306" s="21">
        <v>4</v>
      </c>
      <c r="K306" s="22">
        <v>54423.97</v>
      </c>
      <c r="L306" s="21">
        <v>5</v>
      </c>
      <c r="M306" s="22">
        <f t="shared" si="4"/>
        <v>10884.794</v>
      </c>
      <c r="N306" s="22">
        <v>206811.09</v>
      </c>
      <c r="O306" s="22">
        <v>168000</v>
      </c>
      <c r="P306" s="22">
        <v>38811.089999999997</v>
      </c>
      <c r="Q306" s="62" t="str">
        <f>IF(retail_store_performance_dashbo!$P306&gt;0,"Profit",IF(retail_store_performance_dashbo!$P306&lt;0,"Loss","Break Even"))</f>
        <v>Profit</v>
      </c>
      <c r="R306" s="62" t="str" cm="1">
        <f t="array" ref="R306">_xlfn.IFS(L306=0,"No Discount",L306&lt;=5,"Low Discount",L306&lt;=10,"Medium Discount",L306&lt;=20,"High Discount")</f>
        <v>Low Discount</v>
      </c>
      <c r="S306" s="20" t="s">
        <v>43</v>
      </c>
      <c r="T306" s="20" t="s">
        <v>36</v>
      </c>
      <c r="U306" s="23">
        <v>3.2</v>
      </c>
      <c r="V306" s="75" t="str" cm="1">
        <f t="array" ref="V306">_xlfn.IFS(U306=0,"Not Rated",U306&gt;=4.5,"High Rating",U306&gt;=3,"Medium Rating",U306&lt;3,"Low Rating")</f>
        <v>Medium Rating</v>
      </c>
    </row>
    <row r="307" spans="1:22" x14ac:dyDescent="0.3">
      <c r="A307" s="24" t="s">
        <v>401</v>
      </c>
      <c r="B307" s="25">
        <v>46162</v>
      </c>
      <c r="C307" s="26" t="s">
        <v>38</v>
      </c>
      <c r="D307" s="26" t="s">
        <v>39</v>
      </c>
      <c r="E307" s="26" t="s">
        <v>39</v>
      </c>
      <c r="F307" s="26" t="s">
        <v>32</v>
      </c>
      <c r="G307" s="26" t="s">
        <v>40</v>
      </c>
      <c r="H307" s="26" t="s">
        <v>24</v>
      </c>
      <c r="I307" s="26" t="s">
        <v>34</v>
      </c>
      <c r="J307" s="27">
        <v>5</v>
      </c>
      <c r="K307" s="28">
        <v>1831.22</v>
      </c>
      <c r="L307" s="27">
        <v>0</v>
      </c>
      <c r="M307" s="22">
        <f t="shared" si="4"/>
        <v>0</v>
      </c>
      <c r="N307" s="28">
        <v>9156.1</v>
      </c>
      <c r="O307" s="28">
        <v>5250</v>
      </c>
      <c r="P307" s="28">
        <v>3906.1</v>
      </c>
      <c r="Q307" s="72" t="str">
        <f>IF(retail_store_performance_dashbo!$P307&gt;0,"Profit",IF(retail_store_performance_dashbo!$P307&lt;0,"Loss","Break Even"))</f>
        <v>Profit</v>
      </c>
      <c r="R307" s="62" t="str" cm="1">
        <f t="array" ref="R307">_xlfn.IFS(L307=0,"No Discount",L307&lt;=5,"Low Discount",L307&lt;=10,"Medium Discount",L307&lt;=20,"High Discount")</f>
        <v>No Discount</v>
      </c>
      <c r="S307" s="26" t="s">
        <v>43</v>
      </c>
      <c r="T307" s="26" t="s">
        <v>36</v>
      </c>
      <c r="U307" s="29">
        <v>4.2</v>
      </c>
      <c r="V307" s="75" t="str" cm="1">
        <f t="array" ref="V307">_xlfn.IFS(U307=0,"Not Rated",U307&gt;=4.5,"High Rating",U307&gt;=3,"Medium Rating",U307&lt;3,"Low Rating")</f>
        <v>Medium Rating</v>
      </c>
    </row>
    <row r="308" spans="1:22" x14ac:dyDescent="0.3">
      <c r="A308" s="18" t="s">
        <v>71</v>
      </c>
      <c r="B308" s="19">
        <v>46163</v>
      </c>
      <c r="C308" s="20" t="s">
        <v>61</v>
      </c>
      <c r="D308" s="20" t="s">
        <v>62</v>
      </c>
      <c r="E308" s="20" t="s">
        <v>63</v>
      </c>
      <c r="F308" s="20" t="s">
        <v>22</v>
      </c>
      <c r="G308" s="20" t="s">
        <v>64</v>
      </c>
      <c r="H308" s="20" t="s">
        <v>58</v>
      </c>
      <c r="I308" s="20" t="s">
        <v>72</v>
      </c>
      <c r="J308" s="21">
        <v>4</v>
      </c>
      <c r="K308" s="22">
        <v>3686.96</v>
      </c>
      <c r="L308" s="21">
        <v>10</v>
      </c>
      <c r="M308" s="22">
        <f t="shared" si="4"/>
        <v>1474.7839999999999</v>
      </c>
      <c r="N308" s="22">
        <v>13273.06</v>
      </c>
      <c r="O308" s="22">
        <v>10800</v>
      </c>
      <c r="P308" s="22">
        <v>2473.06</v>
      </c>
      <c r="Q308" s="62" t="str">
        <f>IF(retail_store_performance_dashbo!$P308&gt;0,"Profit",IF(retail_store_performance_dashbo!$P308&lt;0,"Loss","Break Even"))</f>
        <v>Profit</v>
      </c>
      <c r="R308" s="62" t="str" cm="1">
        <f t="array" ref="R308">_xlfn.IFS(L308=0,"No Discount",L308&lt;=5,"Low Discount",L308&lt;=10,"Medium Discount",L308&lt;=20,"High Discount")</f>
        <v>Medium Discount</v>
      </c>
      <c r="S308" s="20" t="s">
        <v>26</v>
      </c>
      <c r="T308" s="20" t="s">
        <v>36</v>
      </c>
      <c r="U308" s="23">
        <v>3.3</v>
      </c>
      <c r="V308" s="75" t="str" cm="1">
        <f t="array" ref="V308">_xlfn.IFS(U308=0,"Not Rated",U308&gt;=4.5,"High Rating",U308&gt;=3,"Medium Rating",U308&lt;3,"Low Rating")</f>
        <v>Medium Rating</v>
      </c>
    </row>
    <row r="309" spans="1:22" x14ac:dyDescent="0.3">
      <c r="A309" s="24" t="s">
        <v>203</v>
      </c>
      <c r="B309" s="25">
        <v>46163</v>
      </c>
      <c r="C309" s="26" t="s">
        <v>77</v>
      </c>
      <c r="D309" s="26" t="s">
        <v>78</v>
      </c>
      <c r="E309" s="26" t="s">
        <v>79</v>
      </c>
      <c r="F309" s="26" t="s">
        <v>80</v>
      </c>
      <c r="G309" s="26" t="s">
        <v>81</v>
      </c>
      <c r="H309" s="26" t="s">
        <v>24</v>
      </c>
      <c r="I309" s="26" t="s">
        <v>75</v>
      </c>
      <c r="J309" s="27">
        <v>5</v>
      </c>
      <c r="K309" s="28">
        <v>471.19</v>
      </c>
      <c r="L309" s="27">
        <v>10</v>
      </c>
      <c r="M309" s="22">
        <f t="shared" si="4"/>
        <v>235.595</v>
      </c>
      <c r="N309" s="28">
        <v>2120.36</v>
      </c>
      <c r="O309" s="28">
        <v>1450</v>
      </c>
      <c r="P309" s="28">
        <v>670.36</v>
      </c>
      <c r="Q309" s="72" t="str">
        <f>IF(retail_store_performance_dashbo!$P309&gt;0,"Profit",IF(retail_store_performance_dashbo!$P309&lt;0,"Loss","Break Even"))</f>
        <v>Profit</v>
      </c>
      <c r="R309" s="62" t="str" cm="1">
        <f t="array" ref="R309">_xlfn.IFS(L309=0,"No Discount",L309&lt;=5,"Low Discount",L309&lt;=10,"Medium Discount",L309&lt;=20,"High Discount")</f>
        <v>Medium Discount</v>
      </c>
      <c r="S309" s="26" t="s">
        <v>35</v>
      </c>
      <c r="T309" s="26" t="s">
        <v>36</v>
      </c>
      <c r="U309" s="29">
        <v>4.8</v>
      </c>
      <c r="V309" s="75" t="str" cm="1">
        <f t="array" ref="V309">_xlfn.IFS(U309=0,"Not Rated",U309&gt;=4.5,"High Rating",U309&gt;=3,"Medium Rating",U309&lt;3,"Low Rating")</f>
        <v>High Rating</v>
      </c>
    </row>
    <row r="310" spans="1:22" x14ac:dyDescent="0.3">
      <c r="A310" s="18" t="s">
        <v>254</v>
      </c>
      <c r="B310" s="19">
        <v>46163</v>
      </c>
      <c r="C310" s="20" t="s">
        <v>38</v>
      </c>
      <c r="D310" s="20" t="s">
        <v>39</v>
      </c>
      <c r="E310" s="20" t="s">
        <v>39</v>
      </c>
      <c r="F310" s="20" t="s">
        <v>32</v>
      </c>
      <c r="G310" s="20" t="s">
        <v>40</v>
      </c>
      <c r="H310" s="20" t="s">
        <v>45</v>
      </c>
      <c r="I310" s="20" t="s">
        <v>46</v>
      </c>
      <c r="J310" s="21">
        <v>6</v>
      </c>
      <c r="K310" s="22">
        <v>3125.76</v>
      </c>
      <c r="L310" s="21">
        <v>0</v>
      </c>
      <c r="M310" s="22">
        <f t="shared" si="4"/>
        <v>0</v>
      </c>
      <c r="N310" s="22">
        <v>18754.560000000001</v>
      </c>
      <c r="O310" s="22">
        <v>11400</v>
      </c>
      <c r="P310" s="22">
        <v>7354.56</v>
      </c>
      <c r="Q310" s="62" t="str">
        <f>IF(retail_store_performance_dashbo!$P310&gt;0,"Profit",IF(retail_store_performance_dashbo!$P310&lt;0,"Loss","Break Even"))</f>
        <v>Profit</v>
      </c>
      <c r="R310" s="62" t="str" cm="1">
        <f t="array" ref="R310">_xlfn.IFS(L310=0,"No Discount",L310&lt;=5,"Low Discount",L310&lt;=10,"Medium Discount",L310&lt;=20,"High Discount")</f>
        <v>No Discount</v>
      </c>
      <c r="S310" s="20" t="s">
        <v>35</v>
      </c>
      <c r="T310" s="20" t="s">
        <v>36</v>
      </c>
      <c r="U310" s="23">
        <v>3.4</v>
      </c>
      <c r="V310" s="75" t="str" cm="1">
        <f t="array" ref="V310">_xlfn.IFS(U310=0,"Not Rated",U310&gt;=4.5,"High Rating",U310&gt;=3,"Medium Rating",U310&lt;3,"Low Rating")</f>
        <v>Medium Rating</v>
      </c>
    </row>
    <row r="311" spans="1:22" x14ac:dyDescent="0.3">
      <c r="A311" s="24" t="s">
        <v>509</v>
      </c>
      <c r="B311" s="25">
        <v>46163</v>
      </c>
      <c r="C311" s="26" t="s">
        <v>146</v>
      </c>
      <c r="D311" s="26" t="s">
        <v>147</v>
      </c>
      <c r="E311" s="26" t="s">
        <v>148</v>
      </c>
      <c r="F311" s="26" t="s">
        <v>22</v>
      </c>
      <c r="G311" s="26" t="s">
        <v>149</v>
      </c>
      <c r="H311" s="26" t="s">
        <v>41</v>
      </c>
      <c r="I311" s="26" t="s">
        <v>42</v>
      </c>
      <c r="J311" s="27">
        <v>3</v>
      </c>
      <c r="K311" s="28">
        <v>4541.2</v>
      </c>
      <c r="L311" s="27">
        <v>10</v>
      </c>
      <c r="M311" s="22">
        <f t="shared" si="4"/>
        <v>1362.36</v>
      </c>
      <c r="N311" s="28">
        <v>12261.24</v>
      </c>
      <c r="O311" s="28">
        <v>8700</v>
      </c>
      <c r="P311" s="28">
        <v>3561.24</v>
      </c>
      <c r="Q311" s="72" t="str">
        <f>IF(retail_store_performance_dashbo!$P311&gt;0,"Profit",IF(retail_store_performance_dashbo!$P311&lt;0,"Loss","Break Even"))</f>
        <v>Profit</v>
      </c>
      <c r="R311" s="62" t="str" cm="1">
        <f t="array" ref="R311">_xlfn.IFS(L311=0,"No Discount",L311&lt;=5,"Low Discount",L311&lt;=10,"Medium Discount",L311&lt;=20,"High Discount")</f>
        <v>Medium Discount</v>
      </c>
      <c r="S311" s="26" t="s">
        <v>35</v>
      </c>
      <c r="T311" s="26" t="s">
        <v>36</v>
      </c>
      <c r="U311" s="29">
        <v>4.8</v>
      </c>
      <c r="V311" s="75" t="str" cm="1">
        <f t="array" ref="V311">_xlfn.IFS(U311=0,"Not Rated",U311&gt;=4.5,"High Rating",U311&gt;=3,"Medium Rating",U311&lt;3,"Low Rating")</f>
        <v>High Rating</v>
      </c>
    </row>
    <row r="312" spans="1:22" x14ac:dyDescent="0.3">
      <c r="A312" s="18" t="s">
        <v>465</v>
      </c>
      <c r="B312" s="19">
        <v>46164</v>
      </c>
      <c r="C312" s="20" t="s">
        <v>97</v>
      </c>
      <c r="D312" s="20" t="s">
        <v>98</v>
      </c>
      <c r="E312" s="20" t="s">
        <v>99</v>
      </c>
      <c r="F312" s="20" t="s">
        <v>54</v>
      </c>
      <c r="G312" s="20" t="s">
        <v>100</v>
      </c>
      <c r="H312" s="20" t="s">
        <v>45</v>
      </c>
      <c r="I312" s="20" t="s">
        <v>46</v>
      </c>
      <c r="J312" s="21">
        <v>4</v>
      </c>
      <c r="K312" s="22">
        <v>3343.19</v>
      </c>
      <c r="L312" s="21">
        <v>10</v>
      </c>
      <c r="M312" s="22">
        <f t="shared" si="4"/>
        <v>1337.2760000000001</v>
      </c>
      <c r="N312" s="22">
        <v>12035.48</v>
      </c>
      <c r="O312" s="22">
        <v>7600</v>
      </c>
      <c r="P312" s="22">
        <v>4435.4799999999996</v>
      </c>
      <c r="Q312" s="62" t="str">
        <f>IF(retail_store_performance_dashbo!$P312&gt;0,"Profit",IF(retail_store_performance_dashbo!$P312&lt;0,"Loss","Break Even"))</f>
        <v>Profit</v>
      </c>
      <c r="R312" s="62" t="str" cm="1">
        <f t="array" ref="R312">_xlfn.IFS(L312=0,"No Discount",L312&lt;=5,"Low Discount",L312&lt;=10,"Medium Discount",L312&lt;=20,"High Discount")</f>
        <v>Medium Discount</v>
      </c>
      <c r="S312" s="20" t="s">
        <v>35</v>
      </c>
      <c r="T312" s="20" t="s">
        <v>36</v>
      </c>
      <c r="U312" s="23">
        <v>4.5</v>
      </c>
      <c r="V312" s="75" t="str" cm="1">
        <f t="array" ref="V312">_xlfn.IFS(U312=0,"Not Rated",U312&gt;=4.5,"High Rating",U312&gt;=3,"Medium Rating",U312&lt;3,"Low Rating")</f>
        <v>High Rating</v>
      </c>
    </row>
    <row r="313" spans="1:22" x14ac:dyDescent="0.3">
      <c r="A313" s="24" t="s">
        <v>482</v>
      </c>
      <c r="B313" s="25">
        <v>46164</v>
      </c>
      <c r="C313" s="26" t="s">
        <v>38</v>
      </c>
      <c r="D313" s="26" t="s">
        <v>39</v>
      </c>
      <c r="E313" s="26" t="s">
        <v>39</v>
      </c>
      <c r="F313" s="26" t="s">
        <v>32</v>
      </c>
      <c r="G313" s="26" t="s">
        <v>40</v>
      </c>
      <c r="H313" s="26" t="s">
        <v>45</v>
      </c>
      <c r="I313" s="26" t="s">
        <v>88</v>
      </c>
      <c r="J313" s="27">
        <v>1</v>
      </c>
      <c r="K313" s="28">
        <v>939.16</v>
      </c>
      <c r="L313" s="27">
        <v>10</v>
      </c>
      <c r="M313" s="22">
        <f t="shared" si="4"/>
        <v>93.915999999999997</v>
      </c>
      <c r="N313" s="28">
        <v>845.24</v>
      </c>
      <c r="O313" s="28">
        <v>500</v>
      </c>
      <c r="P313" s="28">
        <v>345.24</v>
      </c>
      <c r="Q313" s="72" t="str">
        <f>IF(retail_store_performance_dashbo!$P313&gt;0,"Profit",IF(retail_store_performance_dashbo!$P313&lt;0,"Loss","Break Even"))</f>
        <v>Profit</v>
      </c>
      <c r="R313" s="62" t="str" cm="1">
        <f t="array" ref="R313">_xlfn.IFS(L313=0,"No Discount",L313&lt;=5,"Low Discount",L313&lt;=10,"Medium Discount",L313&lt;=20,"High Discount")</f>
        <v>Medium Discount</v>
      </c>
      <c r="S313" s="26" t="s">
        <v>67</v>
      </c>
      <c r="T313" s="26" t="s">
        <v>36</v>
      </c>
      <c r="U313" s="29">
        <v>4</v>
      </c>
      <c r="V313" s="75" t="str" cm="1">
        <f t="array" ref="V313">_xlfn.IFS(U313=0,"Not Rated",U313&gt;=4.5,"High Rating",U313&gt;=3,"Medium Rating",U313&lt;3,"Low Rating")</f>
        <v>Medium Rating</v>
      </c>
    </row>
    <row r="314" spans="1:22" x14ac:dyDescent="0.3">
      <c r="A314" s="18" t="s">
        <v>28</v>
      </c>
      <c r="B314" s="19">
        <v>46165</v>
      </c>
      <c r="C314" s="20" t="s">
        <v>29</v>
      </c>
      <c r="D314" s="20" t="s">
        <v>30</v>
      </c>
      <c r="E314" s="20" t="s">
        <v>31</v>
      </c>
      <c r="F314" s="20" t="s">
        <v>32</v>
      </c>
      <c r="G314" s="20" t="s">
        <v>33</v>
      </c>
      <c r="H314" s="20" t="s">
        <v>24</v>
      </c>
      <c r="I314" s="20" t="s">
        <v>34</v>
      </c>
      <c r="J314" s="21">
        <v>5</v>
      </c>
      <c r="K314" s="22">
        <v>1861.63</v>
      </c>
      <c r="L314" s="21">
        <v>20</v>
      </c>
      <c r="M314" s="22">
        <f t="shared" si="4"/>
        <v>1861.6300000000003</v>
      </c>
      <c r="N314" s="22">
        <v>7446.52</v>
      </c>
      <c r="O314" s="22">
        <v>5250</v>
      </c>
      <c r="P314" s="22">
        <v>2196.52</v>
      </c>
      <c r="Q314" s="62" t="str">
        <f>IF(retail_store_performance_dashbo!$P314&gt;0,"Profit",IF(retail_store_performance_dashbo!$P314&lt;0,"Loss","Break Even"))</f>
        <v>Profit</v>
      </c>
      <c r="R314" s="62" t="str" cm="1">
        <f t="array" ref="R314">_xlfn.IFS(L314=0,"No Discount",L314&lt;=5,"Low Discount",L314&lt;=10,"Medium Discount",L314&lt;=20,"High Discount")</f>
        <v>High Discount</v>
      </c>
      <c r="S314" s="20" t="s">
        <v>35</v>
      </c>
      <c r="T314" s="20" t="s">
        <v>36</v>
      </c>
      <c r="U314" s="23">
        <v>4.2</v>
      </c>
      <c r="V314" s="75" t="str" cm="1">
        <f t="array" ref="V314">_xlfn.IFS(U314=0,"Not Rated",U314&gt;=4.5,"High Rating",U314&gt;=3,"Medium Rating",U314&lt;3,"Low Rating")</f>
        <v>Medium Rating</v>
      </c>
    </row>
    <row r="315" spans="1:22" x14ac:dyDescent="0.3">
      <c r="A315" s="24" t="s">
        <v>247</v>
      </c>
      <c r="B315" s="25">
        <v>46165</v>
      </c>
      <c r="C315" s="26" t="s">
        <v>19</v>
      </c>
      <c r="D315" s="26" t="s">
        <v>20</v>
      </c>
      <c r="E315" s="26" t="s">
        <v>21</v>
      </c>
      <c r="F315" s="26" t="s">
        <v>22</v>
      </c>
      <c r="G315" s="26" t="s">
        <v>23</v>
      </c>
      <c r="H315" s="26" t="s">
        <v>58</v>
      </c>
      <c r="I315" s="26" t="s">
        <v>72</v>
      </c>
      <c r="J315" s="27">
        <v>5</v>
      </c>
      <c r="K315" s="28">
        <v>3936.83</v>
      </c>
      <c r="L315" s="27">
        <v>0</v>
      </c>
      <c r="M315" s="22">
        <f t="shared" si="4"/>
        <v>0</v>
      </c>
      <c r="N315" s="28">
        <v>19684.150000000001</v>
      </c>
      <c r="O315" s="28">
        <v>13500</v>
      </c>
      <c r="P315" s="28">
        <v>6184.15</v>
      </c>
      <c r="Q315" s="72" t="str">
        <f>IF(retail_store_performance_dashbo!$P315&gt;0,"Profit",IF(retail_store_performance_dashbo!$P315&lt;0,"Loss","Break Even"))</f>
        <v>Profit</v>
      </c>
      <c r="R315" s="62" t="str" cm="1">
        <f t="array" ref="R315">_xlfn.IFS(L315=0,"No Discount",L315&lt;=5,"Low Discount",L315&lt;=10,"Medium Discount",L315&lt;=20,"High Discount")</f>
        <v>No Discount</v>
      </c>
      <c r="S315" s="26" t="s">
        <v>67</v>
      </c>
      <c r="T315" s="26" t="s">
        <v>36</v>
      </c>
      <c r="U315" s="29">
        <v>4.8</v>
      </c>
      <c r="V315" s="75" t="str" cm="1">
        <f t="array" ref="V315">_xlfn.IFS(U315=0,"Not Rated",U315&gt;=4.5,"High Rating",U315&gt;=3,"Medium Rating",U315&lt;3,"Low Rating")</f>
        <v>High Rating</v>
      </c>
    </row>
    <row r="316" spans="1:22" x14ac:dyDescent="0.3">
      <c r="A316" s="18" t="s">
        <v>538</v>
      </c>
      <c r="B316" s="19">
        <v>46165</v>
      </c>
      <c r="C316" s="20" t="s">
        <v>61</v>
      </c>
      <c r="D316" s="20" t="s">
        <v>62</v>
      </c>
      <c r="E316" s="20" t="s">
        <v>63</v>
      </c>
      <c r="F316" s="20" t="s">
        <v>22</v>
      </c>
      <c r="G316" s="20" t="s">
        <v>64</v>
      </c>
      <c r="H316" s="20" t="s">
        <v>58</v>
      </c>
      <c r="I316" s="20" t="s">
        <v>72</v>
      </c>
      <c r="J316" s="21">
        <v>6</v>
      </c>
      <c r="K316" s="22">
        <v>3728.15</v>
      </c>
      <c r="L316" s="21">
        <v>0</v>
      </c>
      <c r="M316" s="22">
        <f t="shared" si="4"/>
        <v>0</v>
      </c>
      <c r="N316" s="22">
        <v>22368.9</v>
      </c>
      <c r="O316" s="22">
        <v>16200</v>
      </c>
      <c r="P316" s="22">
        <v>6168.9</v>
      </c>
      <c r="Q316" s="62" t="str">
        <f>IF(retail_store_performance_dashbo!$P316&gt;0,"Profit",IF(retail_store_performance_dashbo!$P316&lt;0,"Loss","Break Even"))</f>
        <v>Profit</v>
      </c>
      <c r="R316" s="62" t="str" cm="1">
        <f t="array" ref="R316">_xlfn.IFS(L316=0,"No Discount",L316&lt;=5,"Low Discount",L316&lt;=10,"Medium Discount",L316&lt;=20,"High Discount")</f>
        <v>No Discount</v>
      </c>
      <c r="S316" s="20" t="s">
        <v>67</v>
      </c>
      <c r="T316" s="20" t="s">
        <v>36</v>
      </c>
      <c r="U316" s="23">
        <v>3.8</v>
      </c>
      <c r="V316" s="75" t="str" cm="1">
        <f t="array" ref="V316">_xlfn.IFS(U316=0,"Not Rated",U316&gt;=4.5,"High Rating",U316&gt;=3,"Medium Rating",U316&lt;3,"Low Rating")</f>
        <v>Medium Rating</v>
      </c>
    </row>
    <row r="317" spans="1:22" x14ac:dyDescent="0.3">
      <c r="A317" s="24" t="s">
        <v>542</v>
      </c>
      <c r="B317" s="25">
        <v>46166</v>
      </c>
      <c r="C317" s="26" t="s">
        <v>38</v>
      </c>
      <c r="D317" s="26" t="s">
        <v>39</v>
      </c>
      <c r="E317" s="26" t="s">
        <v>39</v>
      </c>
      <c r="F317" s="26" t="s">
        <v>32</v>
      </c>
      <c r="G317" s="26" t="s">
        <v>40</v>
      </c>
      <c r="H317" s="26" t="s">
        <v>41</v>
      </c>
      <c r="I317" s="26" t="s">
        <v>106</v>
      </c>
      <c r="J317" s="27">
        <v>2</v>
      </c>
      <c r="K317" s="28">
        <v>22541.42</v>
      </c>
      <c r="L317" s="27">
        <v>5</v>
      </c>
      <c r="M317" s="22">
        <f t="shared" si="4"/>
        <v>2254.1419999999998</v>
      </c>
      <c r="N317" s="28">
        <v>42828.7</v>
      </c>
      <c r="O317" s="28">
        <v>32000</v>
      </c>
      <c r="P317" s="28">
        <v>10828.7</v>
      </c>
      <c r="Q317" s="72" t="str">
        <f>IF(retail_store_performance_dashbo!$P317&gt;0,"Profit",IF(retail_store_performance_dashbo!$P317&lt;0,"Loss","Break Even"))</f>
        <v>Profit</v>
      </c>
      <c r="R317" s="62" t="str" cm="1">
        <f t="array" ref="R317">_xlfn.IFS(L317=0,"No Discount",L317&lt;=5,"Low Discount",L317&lt;=10,"Medium Discount",L317&lt;=20,"High Discount")</f>
        <v>Low Discount</v>
      </c>
      <c r="S317" s="26" t="s">
        <v>67</v>
      </c>
      <c r="T317" s="26" t="s">
        <v>36</v>
      </c>
      <c r="U317" s="29">
        <v>4.3</v>
      </c>
      <c r="V317" s="75" t="str" cm="1">
        <f t="array" ref="V317">_xlfn.IFS(U317=0,"Not Rated",U317&gt;=4.5,"High Rating",U317&gt;=3,"Medium Rating",U317&lt;3,"Low Rating")</f>
        <v>Medium Rating</v>
      </c>
    </row>
    <row r="318" spans="1:22" x14ac:dyDescent="0.3">
      <c r="A318" s="18" t="s">
        <v>60</v>
      </c>
      <c r="B318" s="19">
        <v>46167</v>
      </c>
      <c r="C318" s="20" t="s">
        <v>61</v>
      </c>
      <c r="D318" s="20" t="s">
        <v>62</v>
      </c>
      <c r="E318" s="20" t="s">
        <v>63</v>
      </c>
      <c r="F318" s="20" t="s">
        <v>22</v>
      </c>
      <c r="G318" s="20" t="s">
        <v>64</v>
      </c>
      <c r="H318" s="20" t="s">
        <v>24</v>
      </c>
      <c r="I318" s="20" t="s">
        <v>25</v>
      </c>
      <c r="J318" s="21">
        <v>5</v>
      </c>
      <c r="K318" s="22">
        <v>360.68</v>
      </c>
      <c r="L318" s="21">
        <v>5</v>
      </c>
      <c r="M318" s="22">
        <f t="shared" si="4"/>
        <v>90.17</v>
      </c>
      <c r="N318" s="22">
        <v>1713.23</v>
      </c>
      <c r="O318" s="22">
        <v>1100</v>
      </c>
      <c r="P318" s="22">
        <v>613.23</v>
      </c>
      <c r="Q318" s="62" t="str">
        <f>IF(retail_store_performance_dashbo!$P318&gt;0,"Profit",IF(retail_store_performance_dashbo!$P318&lt;0,"Loss","Break Even"))</f>
        <v>Profit</v>
      </c>
      <c r="R318" s="62" t="str" cm="1">
        <f t="array" ref="R318">_xlfn.IFS(L318=0,"No Discount",L318&lt;=5,"Low Discount",L318&lt;=10,"Medium Discount",L318&lt;=20,"High Discount")</f>
        <v>Low Discount</v>
      </c>
      <c r="S318" s="20" t="s">
        <v>26</v>
      </c>
      <c r="T318" s="20" t="s">
        <v>36</v>
      </c>
      <c r="U318" s="23">
        <v>4.5999999999999996</v>
      </c>
      <c r="V318" s="75" t="str" cm="1">
        <f t="array" ref="V318">_xlfn.IFS(U318=0,"Not Rated",U318&gt;=4.5,"High Rating",U318&gt;=3,"Medium Rating",U318&lt;3,"Low Rating")</f>
        <v>High Rating</v>
      </c>
    </row>
    <row r="319" spans="1:22" x14ac:dyDescent="0.3">
      <c r="A319" s="24" t="s">
        <v>183</v>
      </c>
      <c r="B319" s="25">
        <v>46167</v>
      </c>
      <c r="C319" s="26" t="s">
        <v>19</v>
      </c>
      <c r="D319" s="26" t="s">
        <v>20</v>
      </c>
      <c r="E319" s="26" t="s">
        <v>21</v>
      </c>
      <c r="F319" s="26" t="s">
        <v>22</v>
      </c>
      <c r="G319" s="26" t="s">
        <v>23</v>
      </c>
      <c r="H319" s="26" t="s">
        <v>45</v>
      </c>
      <c r="I319" s="26" t="s">
        <v>46</v>
      </c>
      <c r="J319" s="27">
        <v>5</v>
      </c>
      <c r="K319" s="28">
        <v>3064.31</v>
      </c>
      <c r="L319" s="27">
        <v>5</v>
      </c>
      <c r="M319" s="22">
        <f t="shared" si="4"/>
        <v>766.07749999999999</v>
      </c>
      <c r="N319" s="28">
        <v>14555.47</v>
      </c>
      <c r="O319" s="28">
        <v>9500</v>
      </c>
      <c r="P319" s="28">
        <v>5055.47</v>
      </c>
      <c r="Q319" s="72" t="str">
        <f>IF(retail_store_performance_dashbo!$P319&gt;0,"Profit",IF(retail_store_performance_dashbo!$P319&lt;0,"Loss","Break Even"))</f>
        <v>Profit</v>
      </c>
      <c r="R319" s="62" t="str" cm="1">
        <f t="array" ref="R319">_xlfn.IFS(L319=0,"No Discount",L319&lt;=5,"Low Discount",L319&lt;=10,"Medium Discount",L319&lt;=20,"High Discount")</f>
        <v>Low Discount</v>
      </c>
      <c r="S319" s="26" t="s">
        <v>67</v>
      </c>
      <c r="T319" s="26" t="s">
        <v>36</v>
      </c>
      <c r="U319" s="29">
        <v>4.5999999999999996</v>
      </c>
      <c r="V319" s="75" t="str" cm="1">
        <f t="array" ref="V319">_xlfn.IFS(U319=0,"Not Rated",U319&gt;=4.5,"High Rating",U319&gt;=3,"Medium Rating",U319&lt;3,"Low Rating")</f>
        <v>High Rating</v>
      </c>
    </row>
    <row r="320" spans="1:22" x14ac:dyDescent="0.3">
      <c r="A320" s="18" t="s">
        <v>402</v>
      </c>
      <c r="B320" s="19">
        <v>46167</v>
      </c>
      <c r="C320" s="20" t="s">
        <v>61</v>
      </c>
      <c r="D320" s="20" t="s">
        <v>62</v>
      </c>
      <c r="E320" s="20" t="s">
        <v>63</v>
      </c>
      <c r="F320" s="20" t="s">
        <v>22</v>
      </c>
      <c r="G320" s="20" t="s">
        <v>64</v>
      </c>
      <c r="H320" s="20" t="s">
        <v>48</v>
      </c>
      <c r="I320" s="20" t="s">
        <v>113</v>
      </c>
      <c r="J320" s="21">
        <v>5</v>
      </c>
      <c r="K320" s="22">
        <v>148.13</v>
      </c>
      <c r="L320" s="21">
        <v>5</v>
      </c>
      <c r="M320" s="22">
        <f t="shared" si="4"/>
        <v>37.032499999999999</v>
      </c>
      <c r="N320" s="22">
        <v>703.62</v>
      </c>
      <c r="O320" s="22">
        <v>600</v>
      </c>
      <c r="P320" s="22">
        <v>103.62</v>
      </c>
      <c r="Q320" s="62" t="str">
        <f>IF(retail_store_performance_dashbo!$P320&gt;0,"Profit",IF(retail_store_performance_dashbo!$P320&lt;0,"Loss","Break Even"))</f>
        <v>Profit</v>
      </c>
      <c r="R320" s="62" t="str" cm="1">
        <f t="array" ref="R320">_xlfn.IFS(L320=0,"No Discount",L320&lt;=5,"Low Discount",L320&lt;=10,"Medium Discount",L320&lt;=20,"High Discount")</f>
        <v>Low Discount</v>
      </c>
      <c r="S320" s="20" t="s">
        <v>26</v>
      </c>
      <c r="T320" s="20" t="s">
        <v>36</v>
      </c>
      <c r="U320" s="23">
        <v>3.7</v>
      </c>
      <c r="V320" s="75" t="str" cm="1">
        <f t="array" ref="V320">_xlfn.IFS(U320=0,"Not Rated",U320&gt;=4.5,"High Rating",U320&gt;=3,"Medium Rating",U320&lt;3,"Low Rating")</f>
        <v>Medium Rating</v>
      </c>
    </row>
    <row r="321" spans="1:22" x14ac:dyDescent="0.3">
      <c r="A321" s="24" t="s">
        <v>481</v>
      </c>
      <c r="B321" s="25">
        <v>46167</v>
      </c>
      <c r="C321" s="26" t="s">
        <v>29</v>
      </c>
      <c r="D321" s="26" t="s">
        <v>30</v>
      </c>
      <c r="E321" s="26" t="s">
        <v>31</v>
      </c>
      <c r="F321" s="26" t="s">
        <v>32</v>
      </c>
      <c r="G321" s="26" t="s">
        <v>33</v>
      </c>
      <c r="H321" s="26" t="s">
        <v>48</v>
      </c>
      <c r="I321" s="26" t="s">
        <v>113</v>
      </c>
      <c r="J321" s="27">
        <v>5</v>
      </c>
      <c r="K321" s="28">
        <v>147.88999999999999</v>
      </c>
      <c r="L321" s="27">
        <v>15</v>
      </c>
      <c r="M321" s="22">
        <f t="shared" si="4"/>
        <v>110.91749999999998</v>
      </c>
      <c r="N321" s="28">
        <v>628.53</v>
      </c>
      <c r="O321" s="28">
        <v>600</v>
      </c>
      <c r="P321" s="28">
        <v>28.53</v>
      </c>
      <c r="Q321" s="72" t="str">
        <f>IF(retail_store_performance_dashbo!$P321&gt;0,"Profit",IF(retail_store_performance_dashbo!$P321&lt;0,"Loss","Break Even"))</f>
        <v>Profit</v>
      </c>
      <c r="R321" s="62" t="str" cm="1">
        <f t="array" ref="R321">_xlfn.IFS(L321=0,"No Discount",L321&lt;=5,"Low Discount",L321&lt;=10,"Medium Discount",L321&lt;=20,"High Discount")</f>
        <v>High Discount</v>
      </c>
      <c r="S321" s="26" t="s">
        <v>26</v>
      </c>
      <c r="T321" s="26" t="s">
        <v>36</v>
      </c>
      <c r="U321" s="29">
        <v>4.0999999999999996</v>
      </c>
      <c r="V321" s="75" t="str" cm="1">
        <f t="array" ref="V321">_xlfn.IFS(U321=0,"Not Rated",U321&gt;=4.5,"High Rating",U321&gt;=3,"Medium Rating",U321&lt;3,"Low Rating")</f>
        <v>Medium Rating</v>
      </c>
    </row>
    <row r="322" spans="1:22" x14ac:dyDescent="0.3">
      <c r="A322" s="18" t="s">
        <v>564</v>
      </c>
      <c r="B322" s="19">
        <v>46168</v>
      </c>
      <c r="C322" s="20" t="s">
        <v>77</v>
      </c>
      <c r="D322" s="20" t="s">
        <v>78</v>
      </c>
      <c r="E322" s="20" t="s">
        <v>79</v>
      </c>
      <c r="F322" s="20" t="s">
        <v>80</v>
      </c>
      <c r="G322" s="20" t="s">
        <v>81</v>
      </c>
      <c r="H322" s="20" t="s">
        <v>45</v>
      </c>
      <c r="I322" s="20" t="s">
        <v>101</v>
      </c>
      <c r="J322" s="21">
        <v>5</v>
      </c>
      <c r="K322" s="22">
        <v>1872.24</v>
      </c>
      <c r="L322" s="21">
        <v>20</v>
      </c>
      <c r="M322" s="22">
        <f t="shared" si="4"/>
        <v>1872.24</v>
      </c>
      <c r="N322" s="22">
        <v>7488.96</v>
      </c>
      <c r="O322" s="22">
        <v>5250</v>
      </c>
      <c r="P322" s="22">
        <v>2238.96</v>
      </c>
      <c r="Q322" s="62" t="str">
        <f>IF(retail_store_performance_dashbo!$P322&gt;0,"Profit",IF(retail_store_performance_dashbo!$P322&lt;0,"Loss","Break Even"))</f>
        <v>Profit</v>
      </c>
      <c r="R322" s="62" t="str" cm="1">
        <f t="array" ref="R322">_xlfn.IFS(L322=0,"No Discount",L322&lt;=5,"Low Discount",L322&lt;=10,"Medium Discount",L322&lt;=20,"High Discount")</f>
        <v>High Discount</v>
      </c>
      <c r="S322" s="20" t="s">
        <v>35</v>
      </c>
      <c r="T322" s="20" t="s">
        <v>36</v>
      </c>
      <c r="U322" s="23">
        <v>3.5</v>
      </c>
      <c r="V322" s="75" t="str" cm="1">
        <f t="array" ref="V322">_xlfn.IFS(U322=0,"Not Rated",U322&gt;=4.5,"High Rating",U322&gt;=3,"Medium Rating",U322&lt;3,"Low Rating")</f>
        <v>Medium Rating</v>
      </c>
    </row>
    <row r="323" spans="1:22" x14ac:dyDescent="0.3">
      <c r="A323" s="24" t="s">
        <v>253</v>
      </c>
      <c r="B323" s="25">
        <v>46169</v>
      </c>
      <c r="C323" s="26" t="s">
        <v>61</v>
      </c>
      <c r="D323" s="26" t="s">
        <v>62</v>
      </c>
      <c r="E323" s="26" t="s">
        <v>63</v>
      </c>
      <c r="F323" s="26" t="s">
        <v>22</v>
      </c>
      <c r="G323" s="26" t="s">
        <v>64</v>
      </c>
      <c r="H323" s="26" t="s">
        <v>48</v>
      </c>
      <c r="I323" s="26" t="s">
        <v>109</v>
      </c>
      <c r="J323" s="27">
        <v>3</v>
      </c>
      <c r="K323" s="28">
        <v>681.1</v>
      </c>
      <c r="L323" s="27">
        <v>5</v>
      </c>
      <c r="M323" s="22">
        <f t="shared" ref="M323:M386" si="5">J323*K323*L323/100</f>
        <v>102.16500000000001</v>
      </c>
      <c r="N323" s="28">
        <v>1941.13</v>
      </c>
      <c r="O323" s="28">
        <v>1530</v>
      </c>
      <c r="P323" s="28">
        <v>411.13</v>
      </c>
      <c r="Q323" s="72" t="str">
        <f>IF(retail_store_performance_dashbo!$P323&gt;0,"Profit",IF(retail_store_performance_dashbo!$P323&lt;0,"Loss","Break Even"))</f>
        <v>Profit</v>
      </c>
      <c r="R323" s="62" t="str" cm="1">
        <f t="array" ref="R323">_xlfn.IFS(L323=0,"No Discount",L323&lt;=5,"Low Discount",L323&lt;=10,"Medium Discount",L323&lt;=20,"High Discount")</f>
        <v>Low Discount</v>
      </c>
      <c r="S323" s="26" t="s">
        <v>70</v>
      </c>
      <c r="T323" s="26" t="s">
        <v>36</v>
      </c>
      <c r="U323" s="29">
        <v>4.5999999999999996</v>
      </c>
      <c r="V323" s="75" t="str" cm="1">
        <f t="array" ref="V323">_xlfn.IFS(U323=0,"Not Rated",U323&gt;=4.5,"High Rating",U323&gt;=3,"Medium Rating",U323&lt;3,"Low Rating")</f>
        <v>High Rating</v>
      </c>
    </row>
    <row r="324" spans="1:22" x14ac:dyDescent="0.3">
      <c r="A324" s="18" t="s">
        <v>277</v>
      </c>
      <c r="B324" s="19">
        <v>46169</v>
      </c>
      <c r="C324" s="20" t="s">
        <v>51</v>
      </c>
      <c r="D324" s="20" t="s">
        <v>52</v>
      </c>
      <c r="E324" s="20" t="s">
        <v>53</v>
      </c>
      <c r="F324" s="20" t="s">
        <v>54</v>
      </c>
      <c r="G324" s="20" t="s">
        <v>55</v>
      </c>
      <c r="H324" s="20" t="s">
        <v>24</v>
      </c>
      <c r="I324" s="20" t="s">
        <v>66</v>
      </c>
      <c r="J324" s="21">
        <v>2</v>
      </c>
      <c r="K324" s="22">
        <v>523.32000000000005</v>
      </c>
      <c r="L324" s="21">
        <v>5</v>
      </c>
      <c r="M324" s="22">
        <f t="shared" si="5"/>
        <v>52.332000000000008</v>
      </c>
      <c r="N324" s="22">
        <v>994.31</v>
      </c>
      <c r="O324" s="22">
        <v>680</v>
      </c>
      <c r="P324" s="22">
        <v>314.31</v>
      </c>
      <c r="Q324" s="62" t="str">
        <f>IF(retail_store_performance_dashbo!$P324&gt;0,"Profit",IF(retail_store_performance_dashbo!$P324&lt;0,"Loss","Break Even"))</f>
        <v>Profit</v>
      </c>
      <c r="R324" s="62" t="str" cm="1">
        <f t="array" ref="R324">_xlfn.IFS(L324=0,"No Discount",L324&lt;=5,"Low Discount",L324&lt;=10,"Medium Discount",L324&lt;=20,"High Discount")</f>
        <v>Low Discount</v>
      </c>
      <c r="S324" s="20" t="s">
        <v>35</v>
      </c>
      <c r="T324" s="20" t="s">
        <v>36</v>
      </c>
      <c r="U324" s="23">
        <v>3.6</v>
      </c>
      <c r="V324" s="75" t="str" cm="1">
        <f t="array" ref="V324">_xlfn.IFS(U324=0,"Not Rated",U324&gt;=4.5,"High Rating",U324&gt;=3,"Medium Rating",U324&lt;3,"Low Rating")</f>
        <v>Medium Rating</v>
      </c>
    </row>
    <row r="325" spans="1:22" x14ac:dyDescent="0.3">
      <c r="A325" s="24" t="s">
        <v>87</v>
      </c>
      <c r="B325" s="25">
        <v>46170</v>
      </c>
      <c r="C325" s="26" t="s">
        <v>61</v>
      </c>
      <c r="D325" s="26" t="s">
        <v>62</v>
      </c>
      <c r="E325" s="26" t="s">
        <v>63</v>
      </c>
      <c r="F325" s="26" t="s">
        <v>22</v>
      </c>
      <c r="G325" s="26" t="s">
        <v>64</v>
      </c>
      <c r="H325" s="26" t="s">
        <v>45</v>
      </c>
      <c r="I325" s="26" t="s">
        <v>88</v>
      </c>
      <c r="J325" s="27">
        <v>5</v>
      </c>
      <c r="K325" s="28">
        <v>875.06</v>
      </c>
      <c r="L325" s="27">
        <v>5</v>
      </c>
      <c r="M325" s="22">
        <f t="shared" si="5"/>
        <v>218.76499999999996</v>
      </c>
      <c r="N325" s="28">
        <v>0</v>
      </c>
      <c r="O325" s="28">
        <v>2500</v>
      </c>
      <c r="P325" s="28">
        <v>0</v>
      </c>
      <c r="Q325" s="72" t="str">
        <f>IF(retail_store_performance_dashbo!$P325&gt;0,"Profit",IF(retail_store_performance_dashbo!$P325&lt;0,"Loss","Break Even"))</f>
        <v>Break Even</v>
      </c>
      <c r="R325" s="62" t="str" cm="1">
        <f t="array" ref="R325">_xlfn.IFS(L325=0,"No Discount",L325&lt;=5,"Low Discount",L325&lt;=10,"Medium Discount",L325&lt;=20,"High Discount")</f>
        <v>Low Discount</v>
      </c>
      <c r="S325" s="26" t="s">
        <v>26</v>
      </c>
      <c r="T325" s="26" t="s">
        <v>83</v>
      </c>
      <c r="U325" s="29">
        <v>0</v>
      </c>
      <c r="V325" s="75" t="str" cm="1">
        <f t="array" ref="V325">_xlfn.IFS(U325=0,"Not Rated",U325&gt;=4.5,"High Rating",U325&gt;=3,"Medium Rating",U325&lt;3,"Low Rating")</f>
        <v>Not Rated</v>
      </c>
    </row>
    <row r="326" spans="1:22" x14ac:dyDescent="0.3">
      <c r="A326" s="18" t="s">
        <v>299</v>
      </c>
      <c r="B326" s="19">
        <v>46170</v>
      </c>
      <c r="C326" s="20" t="s">
        <v>29</v>
      </c>
      <c r="D326" s="20" t="s">
        <v>30</v>
      </c>
      <c r="E326" s="20" t="s">
        <v>31</v>
      </c>
      <c r="F326" s="20" t="s">
        <v>32</v>
      </c>
      <c r="G326" s="20" t="s">
        <v>33</v>
      </c>
      <c r="H326" s="20" t="s">
        <v>48</v>
      </c>
      <c r="I326" s="20" t="s">
        <v>56</v>
      </c>
      <c r="J326" s="21">
        <v>4</v>
      </c>
      <c r="K326" s="22">
        <v>95.11</v>
      </c>
      <c r="L326" s="21">
        <v>15</v>
      </c>
      <c r="M326" s="22">
        <f t="shared" si="5"/>
        <v>57.066000000000003</v>
      </c>
      <c r="N326" s="22">
        <v>323.37</v>
      </c>
      <c r="O326" s="22">
        <v>288</v>
      </c>
      <c r="P326" s="22">
        <v>35.369999999999997</v>
      </c>
      <c r="Q326" s="62" t="str">
        <f>IF(retail_store_performance_dashbo!$P326&gt;0,"Profit",IF(retail_store_performance_dashbo!$P326&lt;0,"Loss","Break Even"))</f>
        <v>Profit</v>
      </c>
      <c r="R326" s="62" t="str" cm="1">
        <f t="array" ref="R326">_xlfn.IFS(L326=0,"No Discount",L326&lt;=5,"Low Discount",L326&lt;=10,"Medium Discount",L326&lt;=20,"High Discount")</f>
        <v>High Discount</v>
      </c>
      <c r="S326" s="20" t="s">
        <v>35</v>
      </c>
      <c r="T326" s="20" t="s">
        <v>36</v>
      </c>
      <c r="U326" s="23">
        <v>3.9</v>
      </c>
      <c r="V326" s="75" t="str" cm="1">
        <f t="array" ref="V326">_xlfn.IFS(U326=0,"Not Rated",U326&gt;=4.5,"High Rating",U326&gt;=3,"Medium Rating",U326&lt;3,"Low Rating")</f>
        <v>Medium Rating</v>
      </c>
    </row>
    <row r="327" spans="1:22" x14ac:dyDescent="0.3">
      <c r="A327" s="24" t="s">
        <v>394</v>
      </c>
      <c r="B327" s="25">
        <v>46170</v>
      </c>
      <c r="C327" s="26" t="s">
        <v>38</v>
      </c>
      <c r="D327" s="26" t="s">
        <v>39</v>
      </c>
      <c r="E327" s="26" t="s">
        <v>39</v>
      </c>
      <c r="F327" s="26" t="s">
        <v>32</v>
      </c>
      <c r="G327" s="26" t="s">
        <v>40</v>
      </c>
      <c r="H327" s="26" t="s">
        <v>48</v>
      </c>
      <c r="I327" s="26" t="s">
        <v>56</v>
      </c>
      <c r="J327" s="27">
        <v>2</v>
      </c>
      <c r="K327" s="28">
        <v>96.8</v>
      </c>
      <c r="L327" s="27">
        <v>15</v>
      </c>
      <c r="M327" s="22">
        <f t="shared" si="5"/>
        <v>29.04</v>
      </c>
      <c r="N327" s="28">
        <v>164.56</v>
      </c>
      <c r="O327" s="28">
        <v>144</v>
      </c>
      <c r="P327" s="28">
        <v>20.56</v>
      </c>
      <c r="Q327" s="72" t="str">
        <f>IF(retail_store_performance_dashbo!$P327&gt;0,"Profit",IF(retail_store_performance_dashbo!$P327&lt;0,"Loss","Break Even"))</f>
        <v>Profit</v>
      </c>
      <c r="R327" s="62" t="str" cm="1">
        <f t="array" ref="R327">_xlfn.IFS(L327=0,"No Discount",L327&lt;=5,"Low Discount",L327&lt;=10,"Medium Discount",L327&lt;=20,"High Discount")</f>
        <v>High Discount</v>
      </c>
      <c r="S327" s="26" t="s">
        <v>43</v>
      </c>
      <c r="T327" s="26" t="s">
        <v>36</v>
      </c>
      <c r="U327" s="29">
        <v>4</v>
      </c>
      <c r="V327" s="75" t="str" cm="1">
        <f t="array" ref="V327">_xlfn.IFS(U327=0,"Not Rated",U327&gt;=4.5,"High Rating",U327&gt;=3,"Medium Rating",U327&lt;3,"Low Rating")</f>
        <v>Medium Rating</v>
      </c>
    </row>
    <row r="328" spans="1:22" x14ac:dyDescent="0.3">
      <c r="A328" s="18" t="s">
        <v>507</v>
      </c>
      <c r="B328" s="19">
        <v>46170</v>
      </c>
      <c r="C328" s="20" t="s">
        <v>38</v>
      </c>
      <c r="D328" s="20" t="s">
        <v>39</v>
      </c>
      <c r="E328" s="20" t="s">
        <v>39</v>
      </c>
      <c r="F328" s="20" t="s">
        <v>32</v>
      </c>
      <c r="G328" s="20" t="s">
        <v>40</v>
      </c>
      <c r="H328" s="20" t="s">
        <v>41</v>
      </c>
      <c r="I328" s="20" t="s">
        <v>42</v>
      </c>
      <c r="J328" s="21">
        <v>2</v>
      </c>
      <c r="K328" s="22">
        <v>4679.3999999999996</v>
      </c>
      <c r="L328" s="21">
        <v>20</v>
      </c>
      <c r="M328" s="22">
        <f t="shared" si="5"/>
        <v>1871.76</v>
      </c>
      <c r="N328" s="22">
        <v>7487.04</v>
      </c>
      <c r="O328" s="22">
        <v>5800</v>
      </c>
      <c r="P328" s="22">
        <v>1687.04</v>
      </c>
      <c r="Q328" s="62" t="str">
        <f>IF(retail_store_performance_dashbo!$P328&gt;0,"Profit",IF(retail_store_performance_dashbo!$P328&lt;0,"Loss","Break Even"))</f>
        <v>Profit</v>
      </c>
      <c r="R328" s="62" t="str" cm="1">
        <f t="array" ref="R328">_xlfn.IFS(L328=0,"No Discount",L328&lt;=5,"Low Discount",L328&lt;=10,"Medium Discount",L328&lt;=20,"High Discount")</f>
        <v>High Discount</v>
      </c>
      <c r="S328" s="20" t="s">
        <v>26</v>
      </c>
      <c r="T328" s="20" t="s">
        <v>36</v>
      </c>
      <c r="U328" s="23">
        <v>4.5</v>
      </c>
      <c r="V328" s="75" t="str" cm="1">
        <f t="array" ref="V328">_xlfn.IFS(U328=0,"Not Rated",U328&gt;=4.5,"High Rating",U328&gt;=3,"Medium Rating",U328&lt;3,"Low Rating")</f>
        <v>High Rating</v>
      </c>
    </row>
    <row r="329" spans="1:22" x14ac:dyDescent="0.3">
      <c r="A329" s="24" t="s">
        <v>209</v>
      </c>
      <c r="B329" s="25">
        <v>46172</v>
      </c>
      <c r="C329" s="26" t="s">
        <v>29</v>
      </c>
      <c r="D329" s="26" t="s">
        <v>30</v>
      </c>
      <c r="E329" s="26" t="s">
        <v>31</v>
      </c>
      <c r="F329" s="26" t="s">
        <v>32</v>
      </c>
      <c r="G329" s="26" t="s">
        <v>33</v>
      </c>
      <c r="H329" s="26" t="s">
        <v>48</v>
      </c>
      <c r="I329" s="26" t="s">
        <v>56</v>
      </c>
      <c r="J329" s="27">
        <v>6</v>
      </c>
      <c r="K329" s="28">
        <v>103.65</v>
      </c>
      <c r="L329" s="27">
        <v>0</v>
      </c>
      <c r="M329" s="22">
        <f t="shared" si="5"/>
        <v>0</v>
      </c>
      <c r="N329" s="28">
        <v>621.9</v>
      </c>
      <c r="O329" s="28">
        <v>432</v>
      </c>
      <c r="P329" s="28">
        <v>189.9</v>
      </c>
      <c r="Q329" s="72" t="str">
        <f>IF(retail_store_performance_dashbo!$P329&gt;0,"Profit",IF(retail_store_performance_dashbo!$P329&lt;0,"Loss","Break Even"))</f>
        <v>Profit</v>
      </c>
      <c r="R329" s="62" t="str" cm="1">
        <f t="array" ref="R329">_xlfn.IFS(L329=0,"No Discount",L329&lt;=5,"Low Discount",L329&lt;=10,"Medium Discount",L329&lt;=20,"High Discount")</f>
        <v>No Discount</v>
      </c>
      <c r="S329" s="26" t="s">
        <v>43</v>
      </c>
      <c r="T329" s="26" t="s">
        <v>36</v>
      </c>
      <c r="U329" s="29">
        <v>3.4</v>
      </c>
      <c r="V329" s="75" t="str" cm="1">
        <f t="array" ref="V329">_xlfn.IFS(U329=0,"Not Rated",U329&gt;=4.5,"High Rating",U329&gt;=3,"Medium Rating",U329&lt;3,"Low Rating")</f>
        <v>Medium Rating</v>
      </c>
    </row>
    <row r="330" spans="1:22" x14ac:dyDescent="0.3">
      <c r="A330" s="18" t="s">
        <v>353</v>
      </c>
      <c r="B330" s="19">
        <v>46172</v>
      </c>
      <c r="C330" s="20" t="s">
        <v>97</v>
      </c>
      <c r="D330" s="20" t="s">
        <v>98</v>
      </c>
      <c r="E330" s="20" t="s">
        <v>99</v>
      </c>
      <c r="F330" s="20" t="s">
        <v>54</v>
      </c>
      <c r="G330" s="20" t="s">
        <v>100</v>
      </c>
      <c r="H330" s="20" t="s">
        <v>24</v>
      </c>
      <c r="I330" s="20" t="s">
        <v>66</v>
      </c>
      <c r="J330" s="21">
        <v>2</v>
      </c>
      <c r="K330" s="22">
        <v>563.17999999999995</v>
      </c>
      <c r="L330" s="21">
        <v>5</v>
      </c>
      <c r="M330" s="22">
        <f t="shared" si="5"/>
        <v>56.317999999999991</v>
      </c>
      <c r="N330" s="22">
        <v>1070.04</v>
      </c>
      <c r="O330" s="22">
        <v>680</v>
      </c>
      <c r="P330" s="22">
        <v>390.04</v>
      </c>
      <c r="Q330" s="62" t="str">
        <f>IF(retail_store_performance_dashbo!$P330&gt;0,"Profit",IF(retail_store_performance_dashbo!$P330&lt;0,"Loss","Break Even"))</f>
        <v>Profit</v>
      </c>
      <c r="R330" s="62" t="str" cm="1">
        <f t="array" ref="R330">_xlfn.IFS(L330=0,"No Discount",L330&lt;=5,"Low Discount",L330&lt;=10,"Medium Discount",L330&lt;=20,"High Discount")</f>
        <v>Low Discount</v>
      </c>
      <c r="S330" s="20" t="s">
        <v>43</v>
      </c>
      <c r="T330" s="20" t="s">
        <v>36</v>
      </c>
      <c r="U330" s="23">
        <v>3.2</v>
      </c>
      <c r="V330" s="75" t="str" cm="1">
        <f t="array" ref="V330">_xlfn.IFS(U330=0,"Not Rated",U330&gt;=4.5,"High Rating",U330&gt;=3,"Medium Rating",U330&lt;3,"Low Rating")</f>
        <v>Medium Rating</v>
      </c>
    </row>
    <row r="331" spans="1:22" x14ac:dyDescent="0.3">
      <c r="A331" s="24" t="s">
        <v>440</v>
      </c>
      <c r="B331" s="25">
        <v>46174</v>
      </c>
      <c r="C331" s="26" t="s">
        <v>51</v>
      </c>
      <c r="D331" s="26" t="s">
        <v>52</v>
      </c>
      <c r="E331" s="26" t="s">
        <v>53</v>
      </c>
      <c r="F331" s="26" t="s">
        <v>54</v>
      </c>
      <c r="G331" s="26" t="s">
        <v>55</v>
      </c>
      <c r="H331" s="26" t="s">
        <v>58</v>
      </c>
      <c r="I331" s="26" t="s">
        <v>69</v>
      </c>
      <c r="J331" s="27">
        <v>1</v>
      </c>
      <c r="K331" s="28">
        <v>669.72</v>
      </c>
      <c r="L331" s="27">
        <v>10</v>
      </c>
      <c r="M331" s="22">
        <f t="shared" si="5"/>
        <v>66.972000000000008</v>
      </c>
      <c r="N331" s="28">
        <v>602.75</v>
      </c>
      <c r="O331" s="28">
        <v>400</v>
      </c>
      <c r="P331" s="28">
        <v>202.75</v>
      </c>
      <c r="Q331" s="72" t="str">
        <f>IF(retail_store_performance_dashbo!$P331&gt;0,"Profit",IF(retail_store_performance_dashbo!$P331&lt;0,"Loss","Break Even"))</f>
        <v>Profit</v>
      </c>
      <c r="R331" s="62" t="str" cm="1">
        <f t="array" ref="R331">_xlfn.IFS(L331=0,"No Discount",L331&lt;=5,"Low Discount",L331&lt;=10,"Medium Discount",L331&lt;=20,"High Discount")</f>
        <v>Medium Discount</v>
      </c>
      <c r="S331" s="26" t="s">
        <v>26</v>
      </c>
      <c r="T331" s="26" t="s">
        <v>36</v>
      </c>
      <c r="U331" s="29">
        <v>3.5</v>
      </c>
      <c r="V331" s="75" t="str" cm="1">
        <f t="array" ref="V331">_xlfn.IFS(U331=0,"Not Rated",U331&gt;=4.5,"High Rating",U331&gt;=3,"Medium Rating",U331&lt;3,"Low Rating")</f>
        <v>Medium Rating</v>
      </c>
    </row>
    <row r="332" spans="1:22" x14ac:dyDescent="0.3">
      <c r="A332" s="18" t="s">
        <v>534</v>
      </c>
      <c r="B332" s="19">
        <v>46174</v>
      </c>
      <c r="C332" s="20" t="s">
        <v>77</v>
      </c>
      <c r="D332" s="20" t="s">
        <v>78</v>
      </c>
      <c r="E332" s="20" t="s">
        <v>79</v>
      </c>
      <c r="F332" s="20" t="s">
        <v>80</v>
      </c>
      <c r="G332" s="20" t="s">
        <v>81</v>
      </c>
      <c r="H332" s="20" t="s">
        <v>48</v>
      </c>
      <c r="I332" s="20" t="s">
        <v>109</v>
      </c>
      <c r="J332" s="21">
        <v>3</v>
      </c>
      <c r="K332" s="22">
        <v>642.19000000000005</v>
      </c>
      <c r="L332" s="21">
        <v>5</v>
      </c>
      <c r="M332" s="22">
        <f t="shared" si="5"/>
        <v>96.328500000000005</v>
      </c>
      <c r="N332" s="22">
        <v>1830.24</v>
      </c>
      <c r="O332" s="22">
        <v>1530</v>
      </c>
      <c r="P332" s="22">
        <v>300.24</v>
      </c>
      <c r="Q332" s="62" t="str">
        <f>IF(retail_store_performance_dashbo!$P332&gt;0,"Profit",IF(retail_store_performance_dashbo!$P332&lt;0,"Loss","Break Even"))</f>
        <v>Profit</v>
      </c>
      <c r="R332" s="62" t="str" cm="1">
        <f t="array" ref="R332">_xlfn.IFS(L332=0,"No Discount",L332&lt;=5,"Low Discount",L332&lt;=10,"Medium Discount",L332&lt;=20,"High Discount")</f>
        <v>Low Discount</v>
      </c>
      <c r="S332" s="20" t="s">
        <v>67</v>
      </c>
      <c r="T332" s="20" t="s">
        <v>36</v>
      </c>
      <c r="U332" s="23">
        <v>3.7</v>
      </c>
      <c r="V332" s="75" t="str" cm="1">
        <f t="array" ref="V332">_xlfn.IFS(U332=0,"Not Rated",U332&gt;=4.5,"High Rating",U332&gt;=3,"Medium Rating",U332&lt;3,"Low Rating")</f>
        <v>Medium Rating</v>
      </c>
    </row>
    <row r="333" spans="1:22" x14ac:dyDescent="0.3">
      <c r="A333" s="24" t="s">
        <v>271</v>
      </c>
      <c r="B333" s="25">
        <v>46175</v>
      </c>
      <c r="C333" s="26" t="s">
        <v>38</v>
      </c>
      <c r="D333" s="26" t="s">
        <v>39</v>
      </c>
      <c r="E333" s="26" t="s">
        <v>39</v>
      </c>
      <c r="F333" s="26" t="s">
        <v>32</v>
      </c>
      <c r="G333" s="26" t="s">
        <v>40</v>
      </c>
      <c r="H333" s="26" t="s">
        <v>45</v>
      </c>
      <c r="I333" s="26" t="s">
        <v>46</v>
      </c>
      <c r="J333" s="27">
        <v>2</v>
      </c>
      <c r="K333" s="28">
        <v>3197.21</v>
      </c>
      <c r="L333" s="27">
        <v>5</v>
      </c>
      <c r="M333" s="22">
        <f t="shared" si="5"/>
        <v>319.721</v>
      </c>
      <c r="N333" s="28">
        <v>0</v>
      </c>
      <c r="O333" s="28">
        <v>3800</v>
      </c>
      <c r="P333" s="28">
        <v>0</v>
      </c>
      <c r="Q333" s="72" t="str">
        <f>IF(retail_store_performance_dashbo!$P333&gt;0,"Profit",IF(retail_store_performance_dashbo!$P333&lt;0,"Loss","Break Even"))</f>
        <v>Break Even</v>
      </c>
      <c r="R333" s="62" t="str" cm="1">
        <f t="array" ref="R333">_xlfn.IFS(L333=0,"No Discount",L333&lt;=5,"Low Discount",L333&lt;=10,"Medium Discount",L333&lt;=20,"High Discount")</f>
        <v>Low Discount</v>
      </c>
      <c r="S333" s="26" t="s">
        <v>67</v>
      </c>
      <c r="T333" s="26" t="s">
        <v>83</v>
      </c>
      <c r="U333" s="29">
        <v>0</v>
      </c>
      <c r="V333" s="75" t="str" cm="1">
        <f t="array" ref="V333">_xlfn.IFS(U333=0,"Not Rated",U333&gt;=4.5,"High Rating",U333&gt;=3,"Medium Rating",U333&lt;3,"Low Rating")</f>
        <v>Not Rated</v>
      </c>
    </row>
    <row r="334" spans="1:22" x14ac:dyDescent="0.3">
      <c r="A334" s="18" t="s">
        <v>289</v>
      </c>
      <c r="B334" s="19">
        <v>46175</v>
      </c>
      <c r="C334" s="20" t="s">
        <v>29</v>
      </c>
      <c r="D334" s="20" t="s">
        <v>30</v>
      </c>
      <c r="E334" s="20" t="s">
        <v>31</v>
      </c>
      <c r="F334" s="20" t="s">
        <v>32</v>
      </c>
      <c r="G334" s="20" t="s">
        <v>33</v>
      </c>
      <c r="H334" s="20" t="s">
        <v>24</v>
      </c>
      <c r="I334" s="20" t="s">
        <v>75</v>
      </c>
      <c r="J334" s="21">
        <v>1</v>
      </c>
      <c r="K334" s="22">
        <v>462.25</v>
      </c>
      <c r="L334" s="21">
        <v>10</v>
      </c>
      <c r="M334" s="22">
        <f t="shared" si="5"/>
        <v>46.225000000000001</v>
      </c>
      <c r="N334" s="22">
        <v>416.03</v>
      </c>
      <c r="O334" s="22">
        <v>290</v>
      </c>
      <c r="P334" s="22">
        <v>126.03</v>
      </c>
      <c r="Q334" s="62" t="str">
        <f>IF(retail_store_performance_dashbo!$P334&gt;0,"Profit",IF(retail_store_performance_dashbo!$P334&lt;0,"Loss","Break Even"))</f>
        <v>Profit</v>
      </c>
      <c r="R334" s="62" t="str" cm="1">
        <f t="array" ref="R334">_xlfn.IFS(L334=0,"No Discount",L334&lt;=5,"Low Discount",L334&lt;=10,"Medium Discount",L334&lt;=20,"High Discount")</f>
        <v>Medium Discount</v>
      </c>
      <c r="S334" s="20" t="s">
        <v>67</v>
      </c>
      <c r="T334" s="20" t="s">
        <v>36</v>
      </c>
      <c r="U334" s="23">
        <v>3.2</v>
      </c>
      <c r="V334" s="75" t="str" cm="1">
        <f t="array" ref="V334">_xlfn.IFS(U334=0,"Not Rated",U334&gt;=4.5,"High Rating",U334&gt;=3,"Medium Rating",U334&lt;3,"Low Rating")</f>
        <v>Medium Rating</v>
      </c>
    </row>
    <row r="335" spans="1:22" x14ac:dyDescent="0.3">
      <c r="A335" s="24" t="s">
        <v>312</v>
      </c>
      <c r="B335" s="25">
        <v>46175</v>
      </c>
      <c r="C335" s="26" t="s">
        <v>97</v>
      </c>
      <c r="D335" s="26" t="s">
        <v>98</v>
      </c>
      <c r="E335" s="26" t="s">
        <v>99</v>
      </c>
      <c r="F335" s="26" t="s">
        <v>54</v>
      </c>
      <c r="G335" s="26" t="s">
        <v>100</v>
      </c>
      <c r="H335" s="26" t="s">
        <v>41</v>
      </c>
      <c r="I335" s="26" t="s">
        <v>135</v>
      </c>
      <c r="J335" s="27">
        <v>3</v>
      </c>
      <c r="K335" s="28">
        <v>1726.51</v>
      </c>
      <c r="L335" s="27">
        <v>10</v>
      </c>
      <c r="M335" s="22">
        <f t="shared" si="5"/>
        <v>517.95299999999997</v>
      </c>
      <c r="N335" s="28">
        <v>4661.58</v>
      </c>
      <c r="O335" s="28">
        <v>3300</v>
      </c>
      <c r="P335" s="28">
        <v>1361.58</v>
      </c>
      <c r="Q335" s="72" t="str">
        <f>IF(retail_store_performance_dashbo!$P335&gt;0,"Profit",IF(retail_store_performance_dashbo!$P335&lt;0,"Loss","Break Even"))</f>
        <v>Profit</v>
      </c>
      <c r="R335" s="62" t="str" cm="1">
        <f t="array" ref="R335">_xlfn.IFS(L335=0,"No Discount",L335&lt;=5,"Low Discount",L335&lt;=10,"Medium Discount",L335&lt;=20,"High Discount")</f>
        <v>Medium Discount</v>
      </c>
      <c r="S335" s="26" t="s">
        <v>70</v>
      </c>
      <c r="T335" s="26" t="s">
        <v>36</v>
      </c>
      <c r="U335" s="29">
        <v>3.4</v>
      </c>
      <c r="V335" s="75" t="str" cm="1">
        <f t="array" ref="V335">_xlfn.IFS(U335=0,"Not Rated",U335&gt;=4.5,"High Rating",U335&gt;=3,"Medium Rating",U335&lt;3,"Low Rating")</f>
        <v>Medium Rating</v>
      </c>
    </row>
    <row r="336" spans="1:22" x14ac:dyDescent="0.3">
      <c r="A336" s="18" t="s">
        <v>273</v>
      </c>
      <c r="B336" s="19">
        <v>46176</v>
      </c>
      <c r="C336" s="20" t="s">
        <v>38</v>
      </c>
      <c r="D336" s="20" t="s">
        <v>39</v>
      </c>
      <c r="E336" s="20" t="s">
        <v>39</v>
      </c>
      <c r="F336" s="20" t="s">
        <v>32</v>
      </c>
      <c r="G336" s="20" t="s">
        <v>40</v>
      </c>
      <c r="H336" s="20" t="s">
        <v>48</v>
      </c>
      <c r="I336" s="20" t="s">
        <v>113</v>
      </c>
      <c r="J336" s="21">
        <v>4</v>
      </c>
      <c r="K336" s="22">
        <v>156.38</v>
      </c>
      <c r="L336" s="21">
        <v>15</v>
      </c>
      <c r="M336" s="22">
        <f t="shared" si="5"/>
        <v>93.827999999999989</v>
      </c>
      <c r="N336" s="22">
        <v>531.69000000000005</v>
      </c>
      <c r="O336" s="22">
        <v>480</v>
      </c>
      <c r="P336" s="22">
        <v>51.69</v>
      </c>
      <c r="Q336" s="62" t="str">
        <f>IF(retail_store_performance_dashbo!$P336&gt;0,"Profit",IF(retail_store_performance_dashbo!$P336&lt;0,"Loss","Break Even"))</f>
        <v>Profit</v>
      </c>
      <c r="R336" s="62" t="str" cm="1">
        <f t="array" ref="R336">_xlfn.IFS(L336=0,"No Discount",L336&lt;=5,"Low Discount",L336&lt;=10,"Medium Discount",L336&lt;=20,"High Discount")</f>
        <v>High Discount</v>
      </c>
      <c r="S336" s="20" t="s">
        <v>70</v>
      </c>
      <c r="T336" s="20" t="s">
        <v>36</v>
      </c>
      <c r="U336" s="23">
        <v>3.7</v>
      </c>
      <c r="V336" s="75" t="str" cm="1">
        <f t="array" ref="V336">_xlfn.IFS(U336=0,"Not Rated",U336&gt;=4.5,"High Rating",U336&gt;=3,"Medium Rating",U336&lt;3,"Low Rating")</f>
        <v>Medium Rating</v>
      </c>
    </row>
    <row r="337" spans="1:22" x14ac:dyDescent="0.3">
      <c r="A337" s="24" t="s">
        <v>170</v>
      </c>
      <c r="B337" s="25">
        <v>46178</v>
      </c>
      <c r="C337" s="26" t="s">
        <v>61</v>
      </c>
      <c r="D337" s="26" t="s">
        <v>62</v>
      </c>
      <c r="E337" s="26" t="s">
        <v>63</v>
      </c>
      <c r="F337" s="26" t="s">
        <v>22</v>
      </c>
      <c r="G337" s="26" t="s">
        <v>64</v>
      </c>
      <c r="H337" s="26" t="s">
        <v>41</v>
      </c>
      <c r="I337" s="26" t="s">
        <v>135</v>
      </c>
      <c r="J337" s="27">
        <v>2</v>
      </c>
      <c r="K337" s="28">
        <v>1843.03</v>
      </c>
      <c r="L337" s="27">
        <v>0</v>
      </c>
      <c r="M337" s="22">
        <f t="shared" si="5"/>
        <v>0</v>
      </c>
      <c r="N337" s="28">
        <v>3686.06</v>
      </c>
      <c r="O337" s="28">
        <v>2200</v>
      </c>
      <c r="P337" s="28">
        <v>1486.06</v>
      </c>
      <c r="Q337" s="72" t="str">
        <f>IF(retail_store_performance_dashbo!$P337&gt;0,"Profit",IF(retail_store_performance_dashbo!$P337&lt;0,"Loss","Break Even"))</f>
        <v>Profit</v>
      </c>
      <c r="R337" s="62" t="str" cm="1">
        <f t="array" ref="R337">_xlfn.IFS(L337=0,"No Discount",L337&lt;=5,"Low Discount",L337&lt;=10,"Medium Discount",L337&lt;=20,"High Discount")</f>
        <v>No Discount</v>
      </c>
      <c r="S337" s="26" t="s">
        <v>26</v>
      </c>
      <c r="T337" s="26" t="s">
        <v>36</v>
      </c>
      <c r="U337" s="29">
        <v>3.7</v>
      </c>
      <c r="V337" s="75" t="str" cm="1">
        <f t="array" ref="V337">_xlfn.IFS(U337=0,"Not Rated",U337&gt;=4.5,"High Rating",U337&gt;=3,"Medium Rating",U337&lt;3,"Low Rating")</f>
        <v>Medium Rating</v>
      </c>
    </row>
    <row r="338" spans="1:22" x14ac:dyDescent="0.3">
      <c r="A338" s="18" t="s">
        <v>221</v>
      </c>
      <c r="B338" s="19">
        <v>46179</v>
      </c>
      <c r="C338" s="20" t="s">
        <v>77</v>
      </c>
      <c r="D338" s="20" t="s">
        <v>78</v>
      </c>
      <c r="E338" s="20" t="s">
        <v>79</v>
      </c>
      <c r="F338" s="20" t="s">
        <v>80</v>
      </c>
      <c r="G338" s="20" t="s">
        <v>81</v>
      </c>
      <c r="H338" s="20" t="s">
        <v>24</v>
      </c>
      <c r="I338" s="20" t="s">
        <v>25</v>
      </c>
      <c r="J338" s="21">
        <v>4</v>
      </c>
      <c r="K338" s="22">
        <v>342.65</v>
      </c>
      <c r="L338" s="21">
        <v>10</v>
      </c>
      <c r="M338" s="22">
        <f t="shared" si="5"/>
        <v>137.06</v>
      </c>
      <c r="N338" s="22">
        <v>1233.54</v>
      </c>
      <c r="O338" s="22">
        <v>880</v>
      </c>
      <c r="P338" s="22">
        <v>353.54</v>
      </c>
      <c r="Q338" s="62" t="str">
        <f>IF(retail_store_performance_dashbo!$P338&gt;0,"Profit",IF(retail_store_performance_dashbo!$P338&lt;0,"Loss","Break Even"))</f>
        <v>Profit</v>
      </c>
      <c r="R338" s="62" t="str" cm="1">
        <f t="array" ref="R338">_xlfn.IFS(L338=0,"No Discount",L338&lt;=5,"Low Discount",L338&lt;=10,"Medium Discount",L338&lt;=20,"High Discount")</f>
        <v>Medium Discount</v>
      </c>
      <c r="S338" s="20" t="s">
        <v>26</v>
      </c>
      <c r="T338" s="20" t="s">
        <v>36</v>
      </c>
      <c r="U338" s="23">
        <v>4.9000000000000004</v>
      </c>
      <c r="V338" s="75" t="str" cm="1">
        <f t="array" ref="V338">_xlfn.IFS(U338=0,"Not Rated",U338&gt;=4.5,"High Rating",U338&gt;=3,"Medium Rating",U338&lt;3,"Low Rating")</f>
        <v>High Rating</v>
      </c>
    </row>
    <row r="339" spans="1:22" x14ac:dyDescent="0.3">
      <c r="A339" s="24" t="s">
        <v>400</v>
      </c>
      <c r="B339" s="25">
        <v>46179</v>
      </c>
      <c r="C339" s="26" t="s">
        <v>61</v>
      </c>
      <c r="D339" s="26" t="s">
        <v>62</v>
      </c>
      <c r="E339" s="26" t="s">
        <v>63</v>
      </c>
      <c r="F339" s="26" t="s">
        <v>22</v>
      </c>
      <c r="G339" s="26" t="s">
        <v>64</v>
      </c>
      <c r="H339" s="26" t="s">
        <v>41</v>
      </c>
      <c r="I339" s="26" t="s">
        <v>135</v>
      </c>
      <c r="J339" s="27">
        <v>4</v>
      </c>
      <c r="K339" s="28">
        <v>1816.83</v>
      </c>
      <c r="L339" s="27">
        <v>20</v>
      </c>
      <c r="M339" s="22">
        <f t="shared" si="5"/>
        <v>1453.4639999999999</v>
      </c>
      <c r="N339" s="28">
        <v>5813.86</v>
      </c>
      <c r="O339" s="28">
        <v>4400</v>
      </c>
      <c r="P339" s="28">
        <v>1413.86</v>
      </c>
      <c r="Q339" s="72" t="str">
        <f>IF(retail_store_performance_dashbo!$P339&gt;0,"Profit",IF(retail_store_performance_dashbo!$P339&lt;0,"Loss","Break Even"))</f>
        <v>Profit</v>
      </c>
      <c r="R339" s="62" t="str" cm="1">
        <f t="array" ref="R339">_xlfn.IFS(L339=0,"No Discount",L339&lt;=5,"Low Discount",L339&lt;=10,"Medium Discount",L339&lt;=20,"High Discount")</f>
        <v>High Discount</v>
      </c>
      <c r="S339" s="26" t="s">
        <v>70</v>
      </c>
      <c r="T339" s="26" t="s">
        <v>36</v>
      </c>
      <c r="U339" s="29">
        <v>3.1</v>
      </c>
      <c r="V339" s="75" t="str" cm="1">
        <f t="array" ref="V339">_xlfn.IFS(U339=0,"Not Rated",U339&gt;=4.5,"High Rating",U339&gt;=3,"Medium Rating",U339&lt;3,"Low Rating")</f>
        <v>Medium Rating</v>
      </c>
    </row>
    <row r="340" spans="1:22" x14ac:dyDescent="0.3">
      <c r="A340" s="18" t="s">
        <v>162</v>
      </c>
      <c r="B340" s="19">
        <v>46180</v>
      </c>
      <c r="C340" s="20" t="s">
        <v>146</v>
      </c>
      <c r="D340" s="20" t="s">
        <v>147</v>
      </c>
      <c r="E340" s="20" t="s">
        <v>148</v>
      </c>
      <c r="F340" s="20" t="s">
        <v>22</v>
      </c>
      <c r="G340" s="20" t="s">
        <v>149</v>
      </c>
      <c r="H340" s="20" t="s">
        <v>45</v>
      </c>
      <c r="I340" s="20" t="s">
        <v>88</v>
      </c>
      <c r="J340" s="21">
        <v>5</v>
      </c>
      <c r="K340" s="22">
        <v>904.62</v>
      </c>
      <c r="L340" s="21">
        <v>5</v>
      </c>
      <c r="M340" s="22">
        <f t="shared" si="5"/>
        <v>226.155</v>
      </c>
      <c r="N340" s="22">
        <v>4296.9399999999996</v>
      </c>
      <c r="O340" s="22">
        <v>2500</v>
      </c>
      <c r="P340" s="22">
        <v>1796.94</v>
      </c>
      <c r="Q340" s="62" t="str">
        <f>IF(retail_store_performance_dashbo!$P340&gt;0,"Profit",IF(retail_store_performance_dashbo!$P340&lt;0,"Loss","Break Even"))</f>
        <v>Profit</v>
      </c>
      <c r="R340" s="62" t="str" cm="1">
        <f t="array" ref="R340">_xlfn.IFS(L340=0,"No Discount",L340&lt;=5,"Low Discount",L340&lt;=10,"Medium Discount",L340&lt;=20,"High Discount")</f>
        <v>Low Discount</v>
      </c>
      <c r="S340" s="20" t="s">
        <v>26</v>
      </c>
      <c r="T340" s="20" t="s">
        <v>36</v>
      </c>
      <c r="U340" s="23">
        <v>3.3</v>
      </c>
      <c r="V340" s="75" t="str" cm="1">
        <f t="array" ref="V340">_xlfn.IFS(U340=0,"Not Rated",U340&gt;=4.5,"High Rating",U340&gt;=3,"Medium Rating",U340&lt;3,"Low Rating")</f>
        <v>Medium Rating</v>
      </c>
    </row>
    <row r="341" spans="1:22" x14ac:dyDescent="0.3">
      <c r="A341" s="24" t="s">
        <v>340</v>
      </c>
      <c r="B341" s="25">
        <v>46180</v>
      </c>
      <c r="C341" s="26" t="s">
        <v>19</v>
      </c>
      <c r="D341" s="26" t="s">
        <v>20</v>
      </c>
      <c r="E341" s="26" t="s">
        <v>21</v>
      </c>
      <c r="F341" s="26" t="s">
        <v>22</v>
      </c>
      <c r="G341" s="26" t="s">
        <v>23</v>
      </c>
      <c r="H341" s="26" t="s">
        <v>58</v>
      </c>
      <c r="I341" s="26" t="s">
        <v>59</v>
      </c>
      <c r="J341" s="27">
        <v>2</v>
      </c>
      <c r="K341" s="28">
        <v>4994.45</v>
      </c>
      <c r="L341" s="27">
        <v>10</v>
      </c>
      <c r="M341" s="22">
        <f t="shared" si="5"/>
        <v>998.89</v>
      </c>
      <c r="N341" s="28">
        <v>8990.01</v>
      </c>
      <c r="O341" s="28">
        <v>7200</v>
      </c>
      <c r="P341" s="28">
        <v>1790.01</v>
      </c>
      <c r="Q341" s="72" t="str">
        <f>IF(retail_store_performance_dashbo!$P341&gt;0,"Profit",IF(retail_store_performance_dashbo!$P341&lt;0,"Loss","Break Even"))</f>
        <v>Profit</v>
      </c>
      <c r="R341" s="62" t="str" cm="1">
        <f t="array" ref="R341">_xlfn.IFS(L341=0,"No Discount",L341&lt;=5,"Low Discount",L341&lt;=10,"Medium Discount",L341&lt;=20,"High Discount")</f>
        <v>Medium Discount</v>
      </c>
      <c r="S341" s="26" t="s">
        <v>70</v>
      </c>
      <c r="T341" s="26" t="s">
        <v>36</v>
      </c>
      <c r="U341" s="29">
        <v>4.2</v>
      </c>
      <c r="V341" s="75" t="str" cm="1">
        <f t="array" ref="V341">_xlfn.IFS(U341=0,"Not Rated",U341&gt;=4.5,"High Rating",U341&gt;=3,"Medium Rating",U341&lt;3,"Low Rating")</f>
        <v>Medium Rating</v>
      </c>
    </row>
    <row r="342" spans="1:22" x14ac:dyDescent="0.3">
      <c r="A342" s="18" t="s">
        <v>351</v>
      </c>
      <c r="B342" s="19">
        <v>46180</v>
      </c>
      <c r="C342" s="20" t="s">
        <v>51</v>
      </c>
      <c r="D342" s="20" t="s">
        <v>52</v>
      </c>
      <c r="E342" s="20" t="s">
        <v>53</v>
      </c>
      <c r="F342" s="20" t="s">
        <v>54</v>
      </c>
      <c r="G342" s="20" t="s">
        <v>55</v>
      </c>
      <c r="H342" s="20" t="s">
        <v>45</v>
      </c>
      <c r="I342" s="20" t="s">
        <v>46</v>
      </c>
      <c r="J342" s="21">
        <v>3</v>
      </c>
      <c r="K342" s="22">
        <v>3186.02</v>
      </c>
      <c r="L342" s="21">
        <v>0</v>
      </c>
      <c r="M342" s="22">
        <f t="shared" si="5"/>
        <v>0</v>
      </c>
      <c r="N342" s="22">
        <v>9558.06</v>
      </c>
      <c r="O342" s="22">
        <v>5700</v>
      </c>
      <c r="P342" s="22">
        <v>3858.06</v>
      </c>
      <c r="Q342" s="62" t="str">
        <f>IF(retail_store_performance_dashbo!$P342&gt;0,"Profit",IF(retail_store_performance_dashbo!$P342&lt;0,"Loss","Break Even"))</f>
        <v>Profit</v>
      </c>
      <c r="R342" s="62" t="str" cm="1">
        <f t="array" ref="R342">_xlfn.IFS(L342=0,"No Discount",L342&lt;=5,"Low Discount",L342&lt;=10,"Medium Discount",L342&lt;=20,"High Discount")</f>
        <v>No Discount</v>
      </c>
      <c r="S342" s="20" t="s">
        <v>43</v>
      </c>
      <c r="T342" s="20" t="s">
        <v>36</v>
      </c>
      <c r="U342" s="23">
        <v>3.1</v>
      </c>
      <c r="V342" s="75" t="str" cm="1">
        <f t="array" ref="V342">_xlfn.IFS(U342=0,"Not Rated",U342&gt;=4.5,"High Rating",U342&gt;=3,"Medium Rating",U342&lt;3,"Low Rating")</f>
        <v>Medium Rating</v>
      </c>
    </row>
    <row r="343" spans="1:22" x14ac:dyDescent="0.3">
      <c r="A343" s="24" t="s">
        <v>86</v>
      </c>
      <c r="B343" s="25">
        <v>46181</v>
      </c>
      <c r="C343" s="26" t="s">
        <v>51</v>
      </c>
      <c r="D343" s="26" t="s">
        <v>52</v>
      </c>
      <c r="E343" s="26" t="s">
        <v>53</v>
      </c>
      <c r="F343" s="26" t="s">
        <v>54</v>
      </c>
      <c r="G343" s="26" t="s">
        <v>55</v>
      </c>
      <c r="H343" s="26" t="s">
        <v>24</v>
      </c>
      <c r="I343" s="26" t="s">
        <v>75</v>
      </c>
      <c r="J343" s="27">
        <v>3</v>
      </c>
      <c r="K343" s="28">
        <v>457.58</v>
      </c>
      <c r="L343" s="27">
        <v>10</v>
      </c>
      <c r="M343" s="22">
        <f t="shared" si="5"/>
        <v>137.274</v>
      </c>
      <c r="N343" s="28">
        <v>1235.47</v>
      </c>
      <c r="O343" s="28">
        <v>870</v>
      </c>
      <c r="P343" s="28">
        <v>365.47</v>
      </c>
      <c r="Q343" s="72" t="str">
        <f>IF(retail_store_performance_dashbo!$P343&gt;0,"Profit",IF(retail_store_performance_dashbo!$P343&lt;0,"Loss","Break Even"))</f>
        <v>Profit</v>
      </c>
      <c r="R343" s="62" t="str" cm="1">
        <f t="array" ref="R343">_xlfn.IFS(L343=0,"No Discount",L343&lt;=5,"Low Discount",L343&lt;=10,"Medium Discount",L343&lt;=20,"High Discount")</f>
        <v>Medium Discount</v>
      </c>
      <c r="S343" s="26" t="s">
        <v>26</v>
      </c>
      <c r="T343" s="26" t="s">
        <v>36</v>
      </c>
      <c r="U343" s="29">
        <v>3.6</v>
      </c>
      <c r="V343" s="75" t="str" cm="1">
        <f t="array" ref="V343">_xlfn.IFS(U343=0,"Not Rated",U343&gt;=4.5,"High Rating",U343&gt;=3,"Medium Rating",U343&lt;3,"Low Rating")</f>
        <v>Medium Rating</v>
      </c>
    </row>
    <row r="344" spans="1:22" x14ac:dyDescent="0.3">
      <c r="A344" s="18" t="s">
        <v>210</v>
      </c>
      <c r="B344" s="19">
        <v>46181</v>
      </c>
      <c r="C344" s="20" t="s">
        <v>29</v>
      </c>
      <c r="D344" s="20" t="s">
        <v>30</v>
      </c>
      <c r="E344" s="20" t="s">
        <v>31</v>
      </c>
      <c r="F344" s="20" t="s">
        <v>32</v>
      </c>
      <c r="G344" s="20" t="s">
        <v>33</v>
      </c>
      <c r="H344" s="20" t="s">
        <v>58</v>
      </c>
      <c r="I344" s="20" t="s">
        <v>69</v>
      </c>
      <c r="J344" s="21">
        <v>2</v>
      </c>
      <c r="K344" s="22">
        <v>695.48</v>
      </c>
      <c r="L344" s="21">
        <v>5</v>
      </c>
      <c r="M344" s="22">
        <f t="shared" si="5"/>
        <v>69.548000000000002</v>
      </c>
      <c r="N344" s="22">
        <v>1321.41</v>
      </c>
      <c r="O344" s="22">
        <v>800</v>
      </c>
      <c r="P344" s="22">
        <v>521.41</v>
      </c>
      <c r="Q344" s="62" t="str">
        <f>IF(retail_store_performance_dashbo!$P344&gt;0,"Profit",IF(retail_store_performance_dashbo!$P344&lt;0,"Loss","Break Even"))</f>
        <v>Profit</v>
      </c>
      <c r="R344" s="62" t="str" cm="1">
        <f t="array" ref="R344">_xlfn.IFS(L344=0,"No Discount",L344&lt;=5,"Low Discount",L344&lt;=10,"Medium Discount",L344&lt;=20,"High Discount")</f>
        <v>Low Discount</v>
      </c>
      <c r="S344" s="20" t="s">
        <v>67</v>
      </c>
      <c r="T344" s="20" t="s">
        <v>36</v>
      </c>
      <c r="U344" s="23">
        <v>4.0999999999999996</v>
      </c>
      <c r="V344" s="75" t="str" cm="1">
        <f t="array" ref="V344">_xlfn.IFS(U344=0,"Not Rated",U344&gt;=4.5,"High Rating",U344&gt;=3,"Medium Rating",U344&lt;3,"Low Rating")</f>
        <v>Medium Rating</v>
      </c>
    </row>
    <row r="345" spans="1:22" x14ac:dyDescent="0.3">
      <c r="A345" s="24" t="s">
        <v>309</v>
      </c>
      <c r="B345" s="25">
        <v>46181</v>
      </c>
      <c r="C345" s="26" t="s">
        <v>77</v>
      </c>
      <c r="D345" s="26" t="s">
        <v>78</v>
      </c>
      <c r="E345" s="26" t="s">
        <v>79</v>
      </c>
      <c r="F345" s="26" t="s">
        <v>80</v>
      </c>
      <c r="G345" s="26" t="s">
        <v>81</v>
      </c>
      <c r="H345" s="26" t="s">
        <v>48</v>
      </c>
      <c r="I345" s="26" t="s">
        <v>113</v>
      </c>
      <c r="J345" s="27">
        <v>2</v>
      </c>
      <c r="K345" s="28">
        <v>157.34</v>
      </c>
      <c r="L345" s="27">
        <v>5</v>
      </c>
      <c r="M345" s="22">
        <f t="shared" si="5"/>
        <v>15.734000000000002</v>
      </c>
      <c r="N345" s="28">
        <v>298.95</v>
      </c>
      <c r="O345" s="28">
        <v>240</v>
      </c>
      <c r="P345" s="28">
        <v>58.95</v>
      </c>
      <c r="Q345" s="72" t="str">
        <f>IF(retail_store_performance_dashbo!$P345&gt;0,"Profit",IF(retail_store_performance_dashbo!$P345&lt;0,"Loss","Break Even"))</f>
        <v>Profit</v>
      </c>
      <c r="R345" s="62" t="str" cm="1">
        <f t="array" ref="R345">_xlfn.IFS(L345=0,"No Discount",L345&lt;=5,"Low Discount",L345&lt;=10,"Medium Discount",L345&lt;=20,"High Discount")</f>
        <v>Low Discount</v>
      </c>
      <c r="S345" s="26" t="s">
        <v>35</v>
      </c>
      <c r="T345" s="26" t="s">
        <v>36</v>
      </c>
      <c r="U345" s="29">
        <v>3.8</v>
      </c>
      <c r="V345" s="75" t="str" cm="1">
        <f t="array" ref="V345">_xlfn.IFS(U345=0,"Not Rated",U345&gt;=4.5,"High Rating",U345&gt;=3,"Medium Rating",U345&lt;3,"Low Rating")</f>
        <v>Medium Rating</v>
      </c>
    </row>
    <row r="346" spans="1:22" x14ac:dyDescent="0.3">
      <c r="A346" s="18" t="s">
        <v>327</v>
      </c>
      <c r="B346" s="19">
        <v>46181</v>
      </c>
      <c r="C346" s="20" t="s">
        <v>97</v>
      </c>
      <c r="D346" s="20" t="s">
        <v>98</v>
      </c>
      <c r="E346" s="20" t="s">
        <v>99</v>
      </c>
      <c r="F346" s="20" t="s">
        <v>54</v>
      </c>
      <c r="G346" s="20" t="s">
        <v>100</v>
      </c>
      <c r="H346" s="20" t="s">
        <v>41</v>
      </c>
      <c r="I346" s="20" t="s">
        <v>135</v>
      </c>
      <c r="J346" s="21">
        <v>1</v>
      </c>
      <c r="K346" s="22">
        <v>1830.34</v>
      </c>
      <c r="L346" s="21">
        <v>10</v>
      </c>
      <c r="M346" s="22">
        <f t="shared" si="5"/>
        <v>183.03399999999999</v>
      </c>
      <c r="N346" s="22">
        <v>1647.31</v>
      </c>
      <c r="O346" s="22">
        <v>1100</v>
      </c>
      <c r="P346" s="22">
        <v>547.30999999999995</v>
      </c>
      <c r="Q346" s="62" t="str">
        <f>IF(retail_store_performance_dashbo!$P346&gt;0,"Profit",IF(retail_store_performance_dashbo!$P346&lt;0,"Loss","Break Even"))</f>
        <v>Profit</v>
      </c>
      <c r="R346" s="62" t="str" cm="1">
        <f t="array" ref="R346">_xlfn.IFS(L346=0,"No Discount",L346&lt;=5,"Low Discount",L346&lt;=10,"Medium Discount",L346&lt;=20,"High Discount")</f>
        <v>Medium Discount</v>
      </c>
      <c r="S346" s="20" t="s">
        <v>67</v>
      </c>
      <c r="T346" s="20" t="s">
        <v>36</v>
      </c>
      <c r="U346" s="23">
        <v>4.7</v>
      </c>
      <c r="V346" s="75" t="str" cm="1">
        <f t="array" ref="V346">_xlfn.IFS(U346=0,"Not Rated",U346&gt;=4.5,"High Rating",U346&gt;=3,"Medium Rating",U346&lt;3,"Low Rating")</f>
        <v>High Rating</v>
      </c>
    </row>
    <row r="347" spans="1:22" x14ac:dyDescent="0.3">
      <c r="A347" s="24" t="s">
        <v>94</v>
      </c>
      <c r="B347" s="25">
        <v>46182</v>
      </c>
      <c r="C347" s="26" t="s">
        <v>19</v>
      </c>
      <c r="D347" s="26" t="s">
        <v>20</v>
      </c>
      <c r="E347" s="26" t="s">
        <v>21</v>
      </c>
      <c r="F347" s="26" t="s">
        <v>22</v>
      </c>
      <c r="G347" s="26" t="s">
        <v>23</v>
      </c>
      <c r="H347" s="26" t="s">
        <v>58</v>
      </c>
      <c r="I347" s="26" t="s">
        <v>82</v>
      </c>
      <c r="J347" s="27">
        <v>5</v>
      </c>
      <c r="K347" s="28">
        <v>2336</v>
      </c>
      <c r="L347" s="27">
        <v>0</v>
      </c>
      <c r="M347" s="22">
        <f t="shared" si="5"/>
        <v>0</v>
      </c>
      <c r="N347" s="28">
        <v>11680</v>
      </c>
      <c r="O347" s="28">
        <v>7750</v>
      </c>
      <c r="P347" s="28">
        <v>3930</v>
      </c>
      <c r="Q347" s="72" t="str">
        <f>IF(retail_store_performance_dashbo!$P347&gt;0,"Profit",IF(retail_store_performance_dashbo!$P347&lt;0,"Loss","Break Even"))</f>
        <v>Profit</v>
      </c>
      <c r="R347" s="62" t="str" cm="1">
        <f t="array" ref="R347">_xlfn.IFS(L347=0,"No Discount",L347&lt;=5,"Low Discount",L347&lt;=10,"Medium Discount",L347&lt;=20,"High Discount")</f>
        <v>No Discount</v>
      </c>
      <c r="S347" s="26" t="s">
        <v>35</v>
      </c>
      <c r="T347" s="26" t="s">
        <v>36</v>
      </c>
      <c r="U347" s="29">
        <v>3.1</v>
      </c>
      <c r="V347" s="75" t="str" cm="1">
        <f t="array" ref="V347">_xlfn.IFS(U347=0,"Not Rated",U347&gt;=4.5,"High Rating",U347&gt;=3,"Medium Rating",U347&lt;3,"Low Rating")</f>
        <v>Medium Rating</v>
      </c>
    </row>
    <row r="348" spans="1:22" x14ac:dyDescent="0.3">
      <c r="A348" s="18" t="s">
        <v>472</v>
      </c>
      <c r="B348" s="19">
        <v>46182</v>
      </c>
      <c r="C348" s="20" t="s">
        <v>146</v>
      </c>
      <c r="D348" s="20" t="s">
        <v>147</v>
      </c>
      <c r="E348" s="20" t="s">
        <v>148</v>
      </c>
      <c r="F348" s="20" t="s">
        <v>22</v>
      </c>
      <c r="G348" s="20" t="s">
        <v>149</v>
      </c>
      <c r="H348" s="20" t="s">
        <v>41</v>
      </c>
      <c r="I348" s="20" t="s">
        <v>42</v>
      </c>
      <c r="J348" s="21">
        <v>1</v>
      </c>
      <c r="K348" s="22">
        <v>4551.6499999999996</v>
      </c>
      <c r="L348" s="21">
        <v>0</v>
      </c>
      <c r="M348" s="22">
        <f t="shared" si="5"/>
        <v>0</v>
      </c>
      <c r="N348" s="22">
        <v>4551.6499999999996</v>
      </c>
      <c r="O348" s="22">
        <v>2900</v>
      </c>
      <c r="P348" s="22">
        <v>1651.65</v>
      </c>
      <c r="Q348" s="62" t="str">
        <f>IF(retail_store_performance_dashbo!$P348&gt;0,"Profit",IF(retail_store_performance_dashbo!$P348&lt;0,"Loss","Break Even"))</f>
        <v>Profit</v>
      </c>
      <c r="R348" s="62" t="str" cm="1">
        <f t="array" ref="R348">_xlfn.IFS(L348=0,"No Discount",L348&lt;=5,"Low Discount",L348&lt;=10,"Medium Discount",L348&lt;=20,"High Discount")</f>
        <v>No Discount</v>
      </c>
      <c r="S348" s="20" t="s">
        <v>67</v>
      </c>
      <c r="T348" s="20" t="s">
        <v>36</v>
      </c>
      <c r="U348" s="23">
        <v>3.9</v>
      </c>
      <c r="V348" s="75" t="str" cm="1">
        <f t="array" ref="V348">_xlfn.IFS(U348=0,"Not Rated",U348&gt;=4.5,"High Rating",U348&gt;=3,"Medium Rating",U348&lt;3,"Low Rating")</f>
        <v>Medium Rating</v>
      </c>
    </row>
    <row r="349" spans="1:22" x14ac:dyDescent="0.3">
      <c r="A349" s="24" t="s">
        <v>68</v>
      </c>
      <c r="B349" s="25">
        <v>46183</v>
      </c>
      <c r="C349" s="26" t="s">
        <v>61</v>
      </c>
      <c r="D349" s="26" t="s">
        <v>62</v>
      </c>
      <c r="E349" s="26" t="s">
        <v>63</v>
      </c>
      <c r="F349" s="26" t="s">
        <v>22</v>
      </c>
      <c r="G349" s="26" t="s">
        <v>64</v>
      </c>
      <c r="H349" s="26" t="s">
        <v>58</v>
      </c>
      <c r="I349" s="26" t="s">
        <v>69</v>
      </c>
      <c r="J349" s="27">
        <v>6</v>
      </c>
      <c r="K349" s="28">
        <v>730.06</v>
      </c>
      <c r="L349" s="27">
        <v>10</v>
      </c>
      <c r="M349" s="22">
        <f t="shared" si="5"/>
        <v>438.036</v>
      </c>
      <c r="N349" s="28">
        <v>3942.32</v>
      </c>
      <c r="O349" s="28">
        <v>2400</v>
      </c>
      <c r="P349" s="28">
        <v>1542.32</v>
      </c>
      <c r="Q349" s="72" t="str">
        <f>IF(retail_store_performance_dashbo!$P349&gt;0,"Profit",IF(retail_store_performance_dashbo!$P349&lt;0,"Loss","Break Even"))</f>
        <v>Profit</v>
      </c>
      <c r="R349" s="62" t="str" cm="1">
        <f t="array" ref="R349">_xlfn.IFS(L349=0,"No Discount",L349&lt;=5,"Low Discount",L349&lt;=10,"Medium Discount",L349&lt;=20,"High Discount")</f>
        <v>Medium Discount</v>
      </c>
      <c r="S349" s="26" t="s">
        <v>70</v>
      </c>
      <c r="T349" s="26" t="s">
        <v>36</v>
      </c>
      <c r="U349" s="29">
        <v>4.3</v>
      </c>
      <c r="V349" s="75" t="str" cm="1">
        <f t="array" ref="V349">_xlfn.IFS(U349=0,"Not Rated",U349&gt;=4.5,"High Rating",U349&gt;=3,"Medium Rating",U349&lt;3,"Low Rating")</f>
        <v>Medium Rating</v>
      </c>
    </row>
    <row r="350" spans="1:22" x14ac:dyDescent="0.3">
      <c r="A350" s="18" t="s">
        <v>122</v>
      </c>
      <c r="B350" s="19">
        <v>46183</v>
      </c>
      <c r="C350" s="20" t="s">
        <v>38</v>
      </c>
      <c r="D350" s="20" t="s">
        <v>39</v>
      </c>
      <c r="E350" s="20" t="s">
        <v>39</v>
      </c>
      <c r="F350" s="20" t="s">
        <v>32</v>
      </c>
      <c r="G350" s="20" t="s">
        <v>40</v>
      </c>
      <c r="H350" s="20" t="s">
        <v>45</v>
      </c>
      <c r="I350" s="20" t="s">
        <v>101</v>
      </c>
      <c r="J350" s="21">
        <v>5</v>
      </c>
      <c r="K350" s="22">
        <v>1716.84</v>
      </c>
      <c r="L350" s="21">
        <v>10</v>
      </c>
      <c r="M350" s="22">
        <f t="shared" si="5"/>
        <v>858.41999999999985</v>
      </c>
      <c r="N350" s="22">
        <v>7725.78</v>
      </c>
      <c r="O350" s="22">
        <v>5250</v>
      </c>
      <c r="P350" s="22">
        <v>2475.7800000000002</v>
      </c>
      <c r="Q350" s="62" t="str">
        <f>IF(retail_store_performance_dashbo!$P350&gt;0,"Profit",IF(retail_store_performance_dashbo!$P350&lt;0,"Loss","Break Even"))</f>
        <v>Profit</v>
      </c>
      <c r="R350" s="62" t="str" cm="1">
        <f t="array" ref="R350">_xlfn.IFS(L350=0,"No Discount",L350&lt;=5,"Low Discount",L350&lt;=10,"Medium Discount",L350&lt;=20,"High Discount")</f>
        <v>Medium Discount</v>
      </c>
      <c r="S350" s="20" t="s">
        <v>70</v>
      </c>
      <c r="T350" s="20" t="s">
        <v>36</v>
      </c>
      <c r="U350" s="23">
        <v>4</v>
      </c>
      <c r="V350" s="75" t="str" cm="1">
        <f t="array" ref="V350">_xlfn.IFS(U350=0,"Not Rated",U350&gt;=4.5,"High Rating",U350&gt;=3,"Medium Rating",U350&lt;3,"Low Rating")</f>
        <v>Medium Rating</v>
      </c>
    </row>
    <row r="351" spans="1:22" x14ac:dyDescent="0.3">
      <c r="A351" s="24" t="s">
        <v>262</v>
      </c>
      <c r="B351" s="25">
        <v>46183</v>
      </c>
      <c r="C351" s="26" t="s">
        <v>19</v>
      </c>
      <c r="D351" s="26" t="s">
        <v>20</v>
      </c>
      <c r="E351" s="26" t="s">
        <v>21</v>
      </c>
      <c r="F351" s="26" t="s">
        <v>22</v>
      </c>
      <c r="G351" s="26" t="s">
        <v>23</v>
      </c>
      <c r="H351" s="26" t="s">
        <v>45</v>
      </c>
      <c r="I351" s="26" t="s">
        <v>88</v>
      </c>
      <c r="J351" s="27">
        <v>1</v>
      </c>
      <c r="K351" s="28">
        <v>856.89</v>
      </c>
      <c r="L351" s="27">
        <v>0</v>
      </c>
      <c r="M351" s="22">
        <f t="shared" si="5"/>
        <v>0</v>
      </c>
      <c r="N351" s="28">
        <v>856.89</v>
      </c>
      <c r="O351" s="28">
        <v>500</v>
      </c>
      <c r="P351" s="28">
        <v>356.89</v>
      </c>
      <c r="Q351" s="72" t="str">
        <f>IF(retail_store_performance_dashbo!$P351&gt;0,"Profit",IF(retail_store_performance_dashbo!$P351&lt;0,"Loss","Break Even"))</f>
        <v>Profit</v>
      </c>
      <c r="R351" s="62" t="str" cm="1">
        <f t="array" ref="R351">_xlfn.IFS(L351=0,"No Discount",L351&lt;=5,"Low Discount",L351&lt;=10,"Medium Discount",L351&lt;=20,"High Discount")</f>
        <v>No Discount</v>
      </c>
      <c r="S351" s="26" t="s">
        <v>67</v>
      </c>
      <c r="T351" s="26" t="s">
        <v>36</v>
      </c>
      <c r="U351" s="29">
        <v>4.2</v>
      </c>
      <c r="V351" s="75" t="str" cm="1">
        <f t="array" ref="V351">_xlfn.IFS(U351=0,"Not Rated",U351&gt;=4.5,"High Rating",U351&gt;=3,"Medium Rating",U351&lt;3,"Low Rating")</f>
        <v>Medium Rating</v>
      </c>
    </row>
    <row r="352" spans="1:22" x14ac:dyDescent="0.3">
      <c r="A352" s="18" t="s">
        <v>489</v>
      </c>
      <c r="B352" s="19">
        <v>46183</v>
      </c>
      <c r="C352" s="20" t="s">
        <v>97</v>
      </c>
      <c r="D352" s="20" t="s">
        <v>98</v>
      </c>
      <c r="E352" s="20" t="s">
        <v>99</v>
      </c>
      <c r="F352" s="20" t="s">
        <v>54</v>
      </c>
      <c r="G352" s="20" t="s">
        <v>100</v>
      </c>
      <c r="H352" s="20" t="s">
        <v>41</v>
      </c>
      <c r="I352" s="20" t="s">
        <v>135</v>
      </c>
      <c r="J352" s="21">
        <v>1</v>
      </c>
      <c r="K352" s="22">
        <v>1794.54</v>
      </c>
      <c r="L352" s="21">
        <v>10</v>
      </c>
      <c r="M352" s="22">
        <f t="shared" si="5"/>
        <v>179.45400000000001</v>
      </c>
      <c r="N352" s="22">
        <v>1615.09</v>
      </c>
      <c r="O352" s="22">
        <v>1100</v>
      </c>
      <c r="P352" s="22">
        <v>515.09</v>
      </c>
      <c r="Q352" s="62" t="str">
        <f>IF(retail_store_performance_dashbo!$P352&gt;0,"Profit",IF(retail_store_performance_dashbo!$P352&lt;0,"Loss","Break Even"))</f>
        <v>Profit</v>
      </c>
      <c r="R352" s="62" t="str" cm="1">
        <f t="array" ref="R352">_xlfn.IFS(L352=0,"No Discount",L352&lt;=5,"Low Discount",L352&lt;=10,"Medium Discount",L352&lt;=20,"High Discount")</f>
        <v>Medium Discount</v>
      </c>
      <c r="S352" s="20" t="s">
        <v>70</v>
      </c>
      <c r="T352" s="20" t="s">
        <v>36</v>
      </c>
      <c r="U352" s="23">
        <v>3.6</v>
      </c>
      <c r="V352" s="75" t="str" cm="1">
        <f t="array" ref="V352">_xlfn.IFS(U352=0,"Not Rated",U352&gt;=4.5,"High Rating",U352&gt;=3,"Medium Rating",U352&lt;3,"Low Rating")</f>
        <v>Medium Rating</v>
      </c>
    </row>
    <row r="353" spans="1:22" x14ac:dyDescent="0.3">
      <c r="A353" s="24" t="s">
        <v>525</v>
      </c>
      <c r="B353" s="25">
        <v>46183</v>
      </c>
      <c r="C353" s="26" t="s">
        <v>146</v>
      </c>
      <c r="D353" s="26" t="s">
        <v>147</v>
      </c>
      <c r="E353" s="26" t="s">
        <v>148</v>
      </c>
      <c r="F353" s="26" t="s">
        <v>22</v>
      </c>
      <c r="G353" s="26" t="s">
        <v>149</v>
      </c>
      <c r="H353" s="26" t="s">
        <v>24</v>
      </c>
      <c r="I353" s="26" t="s">
        <v>66</v>
      </c>
      <c r="J353" s="27">
        <v>5</v>
      </c>
      <c r="K353" s="28">
        <v>565.59</v>
      </c>
      <c r="L353" s="27">
        <v>10</v>
      </c>
      <c r="M353" s="22">
        <f t="shared" si="5"/>
        <v>282.79500000000002</v>
      </c>
      <c r="N353" s="28">
        <v>2545.16</v>
      </c>
      <c r="O353" s="28">
        <v>1700</v>
      </c>
      <c r="P353" s="28">
        <v>845.16</v>
      </c>
      <c r="Q353" s="72" t="str">
        <f>IF(retail_store_performance_dashbo!$P353&gt;0,"Profit",IF(retail_store_performance_dashbo!$P353&lt;0,"Loss","Break Even"))</f>
        <v>Profit</v>
      </c>
      <c r="R353" s="62" t="str" cm="1">
        <f t="array" ref="R353">_xlfn.IFS(L353=0,"No Discount",L353&lt;=5,"Low Discount",L353&lt;=10,"Medium Discount",L353&lt;=20,"High Discount")</f>
        <v>Medium Discount</v>
      </c>
      <c r="S353" s="26" t="s">
        <v>70</v>
      </c>
      <c r="T353" s="26" t="s">
        <v>36</v>
      </c>
      <c r="U353" s="29">
        <v>3.9</v>
      </c>
      <c r="V353" s="75" t="str" cm="1">
        <f t="array" ref="V353">_xlfn.IFS(U353=0,"Not Rated",U353&gt;=4.5,"High Rating",U353&gt;=3,"Medium Rating",U353&lt;3,"Low Rating")</f>
        <v>Medium Rating</v>
      </c>
    </row>
    <row r="354" spans="1:22" x14ac:dyDescent="0.3">
      <c r="A354" s="18" t="s">
        <v>491</v>
      </c>
      <c r="B354" s="19">
        <v>46184</v>
      </c>
      <c r="C354" s="20" t="s">
        <v>51</v>
      </c>
      <c r="D354" s="20" t="s">
        <v>52</v>
      </c>
      <c r="E354" s="20" t="s">
        <v>53</v>
      </c>
      <c r="F354" s="20" t="s">
        <v>54</v>
      </c>
      <c r="G354" s="20" t="s">
        <v>55</v>
      </c>
      <c r="H354" s="20" t="s">
        <v>41</v>
      </c>
      <c r="I354" s="20" t="s">
        <v>135</v>
      </c>
      <c r="J354" s="21">
        <v>6</v>
      </c>
      <c r="K354" s="22">
        <v>1731.9</v>
      </c>
      <c r="L354" s="21">
        <v>10</v>
      </c>
      <c r="M354" s="22">
        <f t="shared" si="5"/>
        <v>1039.1400000000001</v>
      </c>
      <c r="N354" s="22">
        <v>9352.26</v>
      </c>
      <c r="O354" s="22">
        <v>6600</v>
      </c>
      <c r="P354" s="22">
        <v>2752.26</v>
      </c>
      <c r="Q354" s="62" t="str">
        <f>IF(retail_store_performance_dashbo!$P354&gt;0,"Profit",IF(retail_store_performance_dashbo!$P354&lt;0,"Loss","Break Even"))</f>
        <v>Profit</v>
      </c>
      <c r="R354" s="62" t="str" cm="1">
        <f t="array" ref="R354">_xlfn.IFS(L354=0,"No Discount",L354&lt;=5,"Low Discount",L354&lt;=10,"Medium Discount",L354&lt;=20,"High Discount")</f>
        <v>Medium Discount</v>
      </c>
      <c r="S354" s="20" t="s">
        <v>43</v>
      </c>
      <c r="T354" s="20" t="s">
        <v>36</v>
      </c>
      <c r="U354" s="23">
        <v>4.7</v>
      </c>
      <c r="V354" s="75" t="str" cm="1">
        <f t="array" ref="V354">_xlfn.IFS(U354=0,"Not Rated",U354&gt;=4.5,"High Rating",U354&gt;=3,"Medium Rating",U354&lt;3,"Low Rating")</f>
        <v>High Rating</v>
      </c>
    </row>
    <row r="355" spans="1:22" x14ac:dyDescent="0.3">
      <c r="A355" s="24" t="s">
        <v>425</v>
      </c>
      <c r="B355" s="25">
        <v>46185</v>
      </c>
      <c r="C355" s="26" t="s">
        <v>146</v>
      </c>
      <c r="D355" s="26" t="s">
        <v>147</v>
      </c>
      <c r="E355" s="26" t="s">
        <v>148</v>
      </c>
      <c r="F355" s="26" t="s">
        <v>22</v>
      </c>
      <c r="G355" s="26" t="s">
        <v>149</v>
      </c>
      <c r="H355" s="26" t="s">
        <v>45</v>
      </c>
      <c r="I355" s="26" t="s">
        <v>88</v>
      </c>
      <c r="J355" s="27">
        <v>5</v>
      </c>
      <c r="K355" s="28">
        <v>866.86</v>
      </c>
      <c r="L355" s="27">
        <v>0</v>
      </c>
      <c r="M355" s="22">
        <f t="shared" si="5"/>
        <v>0</v>
      </c>
      <c r="N355" s="28">
        <v>4334.3</v>
      </c>
      <c r="O355" s="28">
        <v>2500</v>
      </c>
      <c r="P355" s="28">
        <v>1834.3</v>
      </c>
      <c r="Q355" s="72" t="str">
        <f>IF(retail_store_performance_dashbo!$P355&gt;0,"Profit",IF(retail_store_performance_dashbo!$P355&lt;0,"Loss","Break Even"))</f>
        <v>Profit</v>
      </c>
      <c r="R355" s="62" t="str" cm="1">
        <f t="array" ref="R355">_xlfn.IFS(L355=0,"No Discount",L355&lt;=5,"Low Discount",L355&lt;=10,"Medium Discount",L355&lt;=20,"High Discount")</f>
        <v>No Discount</v>
      </c>
      <c r="S355" s="26" t="s">
        <v>67</v>
      </c>
      <c r="T355" s="26" t="s">
        <v>36</v>
      </c>
      <c r="U355" s="29">
        <v>4.5</v>
      </c>
      <c r="V355" s="75" t="str" cm="1">
        <f t="array" ref="V355">_xlfn.IFS(U355=0,"Not Rated",U355&gt;=4.5,"High Rating",U355&gt;=3,"Medium Rating",U355&lt;3,"Low Rating")</f>
        <v>High Rating</v>
      </c>
    </row>
    <row r="356" spans="1:22" x14ac:dyDescent="0.3">
      <c r="A356" s="18" t="s">
        <v>438</v>
      </c>
      <c r="B356" s="19">
        <v>46185</v>
      </c>
      <c r="C356" s="20" t="s">
        <v>38</v>
      </c>
      <c r="D356" s="20" t="s">
        <v>39</v>
      </c>
      <c r="E356" s="20" t="s">
        <v>39</v>
      </c>
      <c r="F356" s="20" t="s">
        <v>32</v>
      </c>
      <c r="G356" s="20" t="s">
        <v>40</v>
      </c>
      <c r="H356" s="20" t="s">
        <v>24</v>
      </c>
      <c r="I356" s="20" t="s">
        <v>66</v>
      </c>
      <c r="J356" s="21">
        <v>3</v>
      </c>
      <c r="K356" s="22">
        <v>549.37</v>
      </c>
      <c r="L356" s="21">
        <v>5</v>
      </c>
      <c r="M356" s="22">
        <f t="shared" si="5"/>
        <v>82.405500000000018</v>
      </c>
      <c r="N356" s="22">
        <v>1565.7</v>
      </c>
      <c r="O356" s="22">
        <v>1020</v>
      </c>
      <c r="P356" s="22">
        <v>545.70000000000005</v>
      </c>
      <c r="Q356" s="62" t="str">
        <f>IF(retail_store_performance_dashbo!$P356&gt;0,"Profit",IF(retail_store_performance_dashbo!$P356&lt;0,"Loss","Break Even"))</f>
        <v>Profit</v>
      </c>
      <c r="R356" s="62" t="str" cm="1">
        <f t="array" ref="R356">_xlfn.IFS(L356=0,"No Discount",L356&lt;=5,"Low Discount",L356&lt;=10,"Medium Discount",L356&lt;=20,"High Discount")</f>
        <v>Low Discount</v>
      </c>
      <c r="S356" s="20" t="s">
        <v>26</v>
      </c>
      <c r="T356" s="20" t="s">
        <v>36</v>
      </c>
      <c r="U356" s="23">
        <v>3.1</v>
      </c>
      <c r="V356" s="75" t="str" cm="1">
        <f t="array" ref="V356">_xlfn.IFS(U356=0,"Not Rated",U356&gt;=4.5,"High Rating",U356&gt;=3,"Medium Rating",U356&lt;3,"Low Rating")</f>
        <v>Medium Rating</v>
      </c>
    </row>
    <row r="357" spans="1:22" x14ac:dyDescent="0.3">
      <c r="A357" s="24" t="s">
        <v>469</v>
      </c>
      <c r="B357" s="25">
        <v>46185</v>
      </c>
      <c r="C357" s="26" t="s">
        <v>61</v>
      </c>
      <c r="D357" s="26" t="s">
        <v>62</v>
      </c>
      <c r="E357" s="26" t="s">
        <v>63</v>
      </c>
      <c r="F357" s="26" t="s">
        <v>22</v>
      </c>
      <c r="G357" s="26" t="s">
        <v>64</v>
      </c>
      <c r="H357" s="26" t="s">
        <v>41</v>
      </c>
      <c r="I357" s="26" t="s">
        <v>135</v>
      </c>
      <c r="J357" s="27">
        <v>1</v>
      </c>
      <c r="K357" s="28">
        <v>1869.11</v>
      </c>
      <c r="L357" s="27">
        <v>5</v>
      </c>
      <c r="M357" s="22">
        <f t="shared" si="5"/>
        <v>93.455499999999986</v>
      </c>
      <c r="N357" s="28">
        <v>1775.65</v>
      </c>
      <c r="O357" s="28">
        <v>1100</v>
      </c>
      <c r="P357" s="28">
        <v>675.65</v>
      </c>
      <c r="Q357" s="72" t="str">
        <f>IF(retail_store_performance_dashbo!$P357&gt;0,"Profit",IF(retail_store_performance_dashbo!$P357&lt;0,"Loss","Break Even"))</f>
        <v>Profit</v>
      </c>
      <c r="R357" s="62" t="str" cm="1">
        <f t="array" ref="R357">_xlfn.IFS(L357=0,"No Discount",L357&lt;=5,"Low Discount",L357&lt;=10,"Medium Discount",L357&lt;=20,"High Discount")</f>
        <v>Low Discount</v>
      </c>
      <c r="S357" s="26" t="s">
        <v>26</v>
      </c>
      <c r="T357" s="26" t="s">
        <v>36</v>
      </c>
      <c r="U357" s="29">
        <v>3.2</v>
      </c>
      <c r="V357" s="75" t="str" cm="1">
        <f t="array" ref="V357">_xlfn.IFS(U357=0,"Not Rated",U357&gt;=4.5,"High Rating",U357&gt;=3,"Medium Rating",U357&lt;3,"Low Rating")</f>
        <v>Medium Rating</v>
      </c>
    </row>
    <row r="358" spans="1:22" x14ac:dyDescent="0.3">
      <c r="A358" s="18" t="s">
        <v>477</v>
      </c>
      <c r="B358" s="19">
        <v>46185</v>
      </c>
      <c r="C358" s="20" t="s">
        <v>29</v>
      </c>
      <c r="D358" s="20" t="s">
        <v>30</v>
      </c>
      <c r="E358" s="20" t="s">
        <v>31</v>
      </c>
      <c r="F358" s="20" t="s">
        <v>32</v>
      </c>
      <c r="G358" s="20" t="s">
        <v>33</v>
      </c>
      <c r="H358" s="20" t="s">
        <v>41</v>
      </c>
      <c r="I358" s="20" t="s">
        <v>42</v>
      </c>
      <c r="J358" s="21">
        <v>4</v>
      </c>
      <c r="K358" s="22">
        <v>4577.9799999999996</v>
      </c>
      <c r="L358" s="21">
        <v>5</v>
      </c>
      <c r="M358" s="22">
        <f t="shared" si="5"/>
        <v>915.59599999999989</v>
      </c>
      <c r="N358" s="22">
        <v>17396.32</v>
      </c>
      <c r="O358" s="22">
        <v>11600</v>
      </c>
      <c r="P358" s="22">
        <v>5796.32</v>
      </c>
      <c r="Q358" s="62" t="str">
        <f>IF(retail_store_performance_dashbo!$P358&gt;0,"Profit",IF(retail_store_performance_dashbo!$P358&lt;0,"Loss","Break Even"))</f>
        <v>Profit</v>
      </c>
      <c r="R358" s="62" t="str" cm="1">
        <f t="array" ref="R358">_xlfn.IFS(L358=0,"No Discount",L358&lt;=5,"Low Discount",L358&lt;=10,"Medium Discount",L358&lt;=20,"High Discount")</f>
        <v>Low Discount</v>
      </c>
      <c r="S358" s="20" t="s">
        <v>43</v>
      </c>
      <c r="T358" s="20" t="s">
        <v>36</v>
      </c>
      <c r="U358" s="23">
        <v>4.0999999999999996</v>
      </c>
      <c r="V358" s="75" t="str" cm="1">
        <f t="array" ref="V358">_xlfn.IFS(U358=0,"Not Rated",U358&gt;=4.5,"High Rating",U358&gt;=3,"Medium Rating",U358&lt;3,"Low Rating")</f>
        <v>Medium Rating</v>
      </c>
    </row>
    <row r="359" spans="1:22" x14ac:dyDescent="0.3">
      <c r="A359" s="24" t="s">
        <v>47</v>
      </c>
      <c r="B359" s="25">
        <v>46186</v>
      </c>
      <c r="C359" s="26" t="s">
        <v>38</v>
      </c>
      <c r="D359" s="26" t="s">
        <v>39</v>
      </c>
      <c r="E359" s="26" t="s">
        <v>39</v>
      </c>
      <c r="F359" s="26" t="s">
        <v>32</v>
      </c>
      <c r="G359" s="26" t="s">
        <v>40</v>
      </c>
      <c r="H359" s="26" t="s">
        <v>48</v>
      </c>
      <c r="I359" s="26" t="s">
        <v>49</v>
      </c>
      <c r="J359" s="27">
        <v>1</v>
      </c>
      <c r="K359" s="28">
        <v>281.61</v>
      </c>
      <c r="L359" s="27">
        <v>10</v>
      </c>
      <c r="M359" s="22">
        <f t="shared" si="5"/>
        <v>28.161000000000005</v>
      </c>
      <c r="N359" s="28">
        <v>253.45</v>
      </c>
      <c r="O359" s="28">
        <v>210</v>
      </c>
      <c r="P359" s="28">
        <v>43.45</v>
      </c>
      <c r="Q359" s="72" t="str">
        <f>IF(retail_store_performance_dashbo!$P359&gt;0,"Profit",IF(retail_store_performance_dashbo!$P359&lt;0,"Loss","Break Even"))</f>
        <v>Profit</v>
      </c>
      <c r="R359" s="62" t="str" cm="1">
        <f t="array" ref="R359">_xlfn.IFS(L359=0,"No Discount",L359&lt;=5,"Low Discount",L359&lt;=10,"Medium Discount",L359&lt;=20,"High Discount")</f>
        <v>Medium Discount</v>
      </c>
      <c r="S359" s="26" t="s">
        <v>26</v>
      </c>
      <c r="T359" s="26" t="s">
        <v>36</v>
      </c>
      <c r="U359" s="29">
        <v>3.3</v>
      </c>
      <c r="V359" s="75" t="str" cm="1">
        <f t="array" ref="V359">_xlfn.IFS(U359=0,"Not Rated",U359&gt;=4.5,"High Rating",U359&gt;=3,"Medium Rating",U359&lt;3,"Low Rating")</f>
        <v>Medium Rating</v>
      </c>
    </row>
    <row r="360" spans="1:22" x14ac:dyDescent="0.3">
      <c r="A360" s="18" t="s">
        <v>126</v>
      </c>
      <c r="B360" s="19">
        <v>46186</v>
      </c>
      <c r="C360" s="20" t="s">
        <v>61</v>
      </c>
      <c r="D360" s="20" t="s">
        <v>62</v>
      </c>
      <c r="E360" s="20" t="s">
        <v>63</v>
      </c>
      <c r="F360" s="20" t="s">
        <v>22</v>
      </c>
      <c r="G360" s="20" t="s">
        <v>64</v>
      </c>
      <c r="H360" s="20" t="s">
        <v>24</v>
      </c>
      <c r="I360" s="20" t="s">
        <v>75</v>
      </c>
      <c r="J360" s="21">
        <v>4</v>
      </c>
      <c r="K360" s="22">
        <v>467.87</v>
      </c>
      <c r="L360" s="21">
        <v>10</v>
      </c>
      <c r="M360" s="22">
        <f t="shared" si="5"/>
        <v>187.148</v>
      </c>
      <c r="N360" s="22">
        <v>1684.33</v>
      </c>
      <c r="O360" s="22">
        <v>1160</v>
      </c>
      <c r="P360" s="22">
        <v>524.33000000000004</v>
      </c>
      <c r="Q360" s="62" t="str">
        <f>IF(retail_store_performance_dashbo!$P360&gt;0,"Profit",IF(retail_store_performance_dashbo!$P360&lt;0,"Loss","Break Even"))</f>
        <v>Profit</v>
      </c>
      <c r="R360" s="62" t="str" cm="1">
        <f t="array" ref="R360">_xlfn.IFS(L360=0,"No Discount",L360&lt;=5,"Low Discount",L360&lt;=10,"Medium Discount",L360&lt;=20,"High Discount")</f>
        <v>Medium Discount</v>
      </c>
      <c r="S360" s="20" t="s">
        <v>35</v>
      </c>
      <c r="T360" s="20" t="s">
        <v>36</v>
      </c>
      <c r="U360" s="23">
        <v>4.3</v>
      </c>
      <c r="V360" s="75" t="str" cm="1">
        <f t="array" ref="V360">_xlfn.IFS(U360=0,"Not Rated",U360&gt;=4.5,"High Rating",U360&gt;=3,"Medium Rating",U360&lt;3,"Low Rating")</f>
        <v>Medium Rating</v>
      </c>
    </row>
    <row r="361" spans="1:22" x14ac:dyDescent="0.3">
      <c r="A361" s="24" t="s">
        <v>283</v>
      </c>
      <c r="B361" s="25">
        <v>46187</v>
      </c>
      <c r="C361" s="26" t="s">
        <v>97</v>
      </c>
      <c r="D361" s="26" t="s">
        <v>98</v>
      </c>
      <c r="E361" s="26" t="s">
        <v>99</v>
      </c>
      <c r="F361" s="26" t="s">
        <v>54</v>
      </c>
      <c r="G361" s="26" t="s">
        <v>100</v>
      </c>
      <c r="H361" s="26" t="s">
        <v>41</v>
      </c>
      <c r="I361" s="26" t="s">
        <v>42</v>
      </c>
      <c r="J361" s="27">
        <v>6</v>
      </c>
      <c r="K361" s="28">
        <v>4659.9399999999996</v>
      </c>
      <c r="L361" s="27">
        <v>15</v>
      </c>
      <c r="M361" s="22">
        <f t="shared" si="5"/>
        <v>4193.9459999999999</v>
      </c>
      <c r="N361" s="28">
        <v>23765.69</v>
      </c>
      <c r="O361" s="28">
        <v>17400</v>
      </c>
      <c r="P361" s="28">
        <v>6365.69</v>
      </c>
      <c r="Q361" s="72" t="str">
        <f>IF(retail_store_performance_dashbo!$P361&gt;0,"Profit",IF(retail_store_performance_dashbo!$P361&lt;0,"Loss","Break Even"))</f>
        <v>Profit</v>
      </c>
      <c r="R361" s="62" t="str" cm="1">
        <f t="array" ref="R361">_xlfn.IFS(L361=0,"No Discount",L361&lt;=5,"Low Discount",L361&lt;=10,"Medium Discount",L361&lt;=20,"High Discount")</f>
        <v>High Discount</v>
      </c>
      <c r="S361" s="26" t="s">
        <v>35</v>
      </c>
      <c r="T361" s="26" t="s">
        <v>36</v>
      </c>
      <c r="U361" s="29">
        <v>3.3</v>
      </c>
      <c r="V361" s="75" t="str" cm="1">
        <f t="array" ref="V361">_xlfn.IFS(U361=0,"Not Rated",U361&gt;=4.5,"High Rating",U361&gt;=3,"Medium Rating",U361&lt;3,"Low Rating")</f>
        <v>Medium Rating</v>
      </c>
    </row>
    <row r="362" spans="1:22" x14ac:dyDescent="0.3">
      <c r="A362" s="18" t="s">
        <v>531</v>
      </c>
      <c r="B362" s="19">
        <v>46187</v>
      </c>
      <c r="C362" s="20" t="s">
        <v>29</v>
      </c>
      <c r="D362" s="20" t="s">
        <v>30</v>
      </c>
      <c r="E362" s="20" t="s">
        <v>31</v>
      </c>
      <c r="F362" s="20" t="s">
        <v>32</v>
      </c>
      <c r="G362" s="20" t="s">
        <v>33</v>
      </c>
      <c r="H362" s="20" t="s">
        <v>41</v>
      </c>
      <c r="I362" s="20" t="s">
        <v>106</v>
      </c>
      <c r="J362" s="21">
        <v>2</v>
      </c>
      <c r="K362" s="22">
        <v>21088.69</v>
      </c>
      <c r="L362" s="21">
        <v>5</v>
      </c>
      <c r="M362" s="22">
        <f t="shared" si="5"/>
        <v>2108.8690000000001</v>
      </c>
      <c r="N362" s="22">
        <v>40068.51</v>
      </c>
      <c r="O362" s="22">
        <v>32000</v>
      </c>
      <c r="P362" s="22">
        <v>8068.51</v>
      </c>
      <c r="Q362" s="62" t="str">
        <f>IF(retail_store_performance_dashbo!$P362&gt;0,"Profit",IF(retail_store_performance_dashbo!$P362&lt;0,"Loss","Break Even"))</f>
        <v>Profit</v>
      </c>
      <c r="R362" s="62" t="str" cm="1">
        <f t="array" ref="R362">_xlfn.IFS(L362=0,"No Discount",L362&lt;=5,"Low Discount",L362&lt;=10,"Medium Discount",L362&lt;=20,"High Discount")</f>
        <v>Low Discount</v>
      </c>
      <c r="S362" s="20" t="s">
        <v>70</v>
      </c>
      <c r="T362" s="20" t="s">
        <v>36</v>
      </c>
      <c r="U362" s="23">
        <v>3.1</v>
      </c>
      <c r="V362" s="75" t="str" cm="1">
        <f t="array" ref="V362">_xlfn.IFS(U362=0,"Not Rated",U362&gt;=4.5,"High Rating",U362&gt;=3,"Medium Rating",U362&lt;3,"Low Rating")</f>
        <v>Medium Rating</v>
      </c>
    </row>
    <row r="363" spans="1:22" x14ac:dyDescent="0.3">
      <c r="A363" s="24" t="s">
        <v>239</v>
      </c>
      <c r="B363" s="25">
        <v>46188</v>
      </c>
      <c r="C363" s="26" t="s">
        <v>61</v>
      </c>
      <c r="D363" s="26" t="s">
        <v>62</v>
      </c>
      <c r="E363" s="26" t="s">
        <v>63</v>
      </c>
      <c r="F363" s="26" t="s">
        <v>22</v>
      </c>
      <c r="G363" s="26" t="s">
        <v>64</v>
      </c>
      <c r="H363" s="26" t="s">
        <v>48</v>
      </c>
      <c r="I363" s="26" t="s">
        <v>56</v>
      </c>
      <c r="J363" s="27">
        <v>2</v>
      </c>
      <c r="K363" s="28">
        <v>96.88</v>
      </c>
      <c r="L363" s="27">
        <v>5</v>
      </c>
      <c r="M363" s="22">
        <f t="shared" si="5"/>
        <v>9.6879999999999988</v>
      </c>
      <c r="N363" s="28">
        <v>-184.07</v>
      </c>
      <c r="O363" s="28">
        <v>144</v>
      </c>
      <c r="P363" s="28">
        <v>-328.07</v>
      </c>
      <c r="Q363" s="72" t="str">
        <f>IF(retail_store_performance_dashbo!$P363&gt;0,"Profit",IF(retail_store_performance_dashbo!$P363&lt;0,"Loss","Break Even"))</f>
        <v>Loss</v>
      </c>
      <c r="R363" s="62" t="str" cm="1">
        <f t="array" ref="R363">_xlfn.IFS(L363=0,"No Discount",L363&lt;=5,"Low Discount",L363&lt;=10,"Medium Discount",L363&lt;=20,"High Discount")</f>
        <v>Low Discount</v>
      </c>
      <c r="S363" s="26" t="s">
        <v>26</v>
      </c>
      <c r="T363" s="26" t="s">
        <v>27</v>
      </c>
      <c r="U363" s="29">
        <v>3.9</v>
      </c>
      <c r="V363" s="75" t="str" cm="1">
        <f t="array" ref="V363">_xlfn.IFS(U363=0,"Not Rated",U363&gt;=4.5,"High Rating",U363&gt;=3,"Medium Rating",U363&lt;3,"Low Rating")</f>
        <v>Medium Rating</v>
      </c>
    </row>
    <row r="364" spans="1:22" x14ac:dyDescent="0.3">
      <c r="A364" s="18" t="s">
        <v>460</v>
      </c>
      <c r="B364" s="19">
        <v>46188</v>
      </c>
      <c r="C364" s="20" t="s">
        <v>51</v>
      </c>
      <c r="D364" s="20" t="s">
        <v>52</v>
      </c>
      <c r="E364" s="20" t="s">
        <v>53</v>
      </c>
      <c r="F364" s="20" t="s">
        <v>54</v>
      </c>
      <c r="G364" s="20" t="s">
        <v>55</v>
      </c>
      <c r="H364" s="20" t="s">
        <v>24</v>
      </c>
      <c r="I364" s="20" t="s">
        <v>25</v>
      </c>
      <c r="J364" s="21">
        <v>6</v>
      </c>
      <c r="K364" s="22">
        <v>344.4</v>
      </c>
      <c r="L364" s="21">
        <v>15</v>
      </c>
      <c r="M364" s="22">
        <f t="shared" si="5"/>
        <v>309.95999999999992</v>
      </c>
      <c r="N364" s="22">
        <v>1756.44</v>
      </c>
      <c r="O364" s="22">
        <v>1320</v>
      </c>
      <c r="P364" s="22">
        <v>436.44</v>
      </c>
      <c r="Q364" s="62" t="str">
        <f>IF(retail_store_performance_dashbo!$P364&gt;0,"Profit",IF(retail_store_performance_dashbo!$P364&lt;0,"Loss","Break Even"))</f>
        <v>Profit</v>
      </c>
      <c r="R364" s="62" t="str" cm="1">
        <f t="array" ref="R364">_xlfn.IFS(L364=0,"No Discount",L364&lt;=5,"Low Discount",L364&lt;=10,"Medium Discount",L364&lt;=20,"High Discount")</f>
        <v>High Discount</v>
      </c>
      <c r="S364" s="20" t="s">
        <v>67</v>
      </c>
      <c r="T364" s="20" t="s">
        <v>36</v>
      </c>
      <c r="U364" s="23">
        <v>4.2</v>
      </c>
      <c r="V364" s="75" t="str" cm="1">
        <f t="array" ref="V364">_xlfn.IFS(U364=0,"Not Rated",U364&gt;=4.5,"High Rating",U364&gt;=3,"Medium Rating",U364&lt;3,"Low Rating")</f>
        <v>Medium Rating</v>
      </c>
    </row>
    <row r="365" spans="1:22" x14ac:dyDescent="0.3">
      <c r="A365" s="24" t="s">
        <v>543</v>
      </c>
      <c r="B365" s="25">
        <v>46188</v>
      </c>
      <c r="C365" s="26" t="s">
        <v>29</v>
      </c>
      <c r="D365" s="26" t="s">
        <v>30</v>
      </c>
      <c r="E365" s="26" t="s">
        <v>31</v>
      </c>
      <c r="F365" s="26" t="s">
        <v>32</v>
      </c>
      <c r="G365" s="26" t="s">
        <v>33</v>
      </c>
      <c r="H365" s="26" t="s">
        <v>45</v>
      </c>
      <c r="I365" s="26" t="s">
        <v>124</v>
      </c>
      <c r="J365" s="27">
        <v>3</v>
      </c>
      <c r="K365" s="28">
        <v>4362.37</v>
      </c>
      <c r="L365" s="27">
        <v>10</v>
      </c>
      <c r="M365" s="22">
        <f t="shared" si="5"/>
        <v>1308.711</v>
      </c>
      <c r="N365" s="28">
        <v>11778.4</v>
      </c>
      <c r="O365" s="28">
        <v>7800</v>
      </c>
      <c r="P365" s="28">
        <v>3978.4</v>
      </c>
      <c r="Q365" s="72" t="str">
        <f>IF(retail_store_performance_dashbo!$P365&gt;0,"Profit",IF(retail_store_performance_dashbo!$P365&lt;0,"Loss","Break Even"))</f>
        <v>Profit</v>
      </c>
      <c r="R365" s="62" t="str" cm="1">
        <f t="array" ref="R365">_xlfn.IFS(L365=0,"No Discount",L365&lt;=5,"Low Discount",L365&lt;=10,"Medium Discount",L365&lt;=20,"High Discount")</f>
        <v>Medium Discount</v>
      </c>
      <c r="S365" s="26" t="s">
        <v>35</v>
      </c>
      <c r="T365" s="26" t="s">
        <v>36</v>
      </c>
      <c r="U365" s="29">
        <v>3.6</v>
      </c>
      <c r="V365" s="75" t="str" cm="1">
        <f t="array" ref="V365">_xlfn.IFS(U365=0,"Not Rated",U365&gt;=4.5,"High Rating",U365&gt;=3,"Medium Rating",U365&lt;3,"Low Rating")</f>
        <v>Medium Rating</v>
      </c>
    </row>
    <row r="366" spans="1:22" x14ac:dyDescent="0.3">
      <c r="A366" s="18" t="s">
        <v>441</v>
      </c>
      <c r="B366" s="19">
        <v>46190</v>
      </c>
      <c r="C366" s="20" t="s">
        <v>97</v>
      </c>
      <c r="D366" s="20" t="s">
        <v>98</v>
      </c>
      <c r="E366" s="20" t="s">
        <v>99</v>
      </c>
      <c r="F366" s="20" t="s">
        <v>54</v>
      </c>
      <c r="G366" s="20" t="s">
        <v>100</v>
      </c>
      <c r="H366" s="20" t="s">
        <v>41</v>
      </c>
      <c r="I366" s="20" t="s">
        <v>92</v>
      </c>
      <c r="J366" s="21">
        <v>3</v>
      </c>
      <c r="K366" s="22">
        <v>56916.23</v>
      </c>
      <c r="L366" s="21">
        <v>10</v>
      </c>
      <c r="M366" s="22">
        <f t="shared" si="5"/>
        <v>17074.868999999999</v>
      </c>
      <c r="N366" s="22">
        <v>153673.82</v>
      </c>
      <c r="O366" s="22">
        <v>126000</v>
      </c>
      <c r="P366" s="22">
        <v>27673.82</v>
      </c>
      <c r="Q366" s="62" t="str">
        <f>IF(retail_store_performance_dashbo!$P366&gt;0,"Profit",IF(retail_store_performance_dashbo!$P366&lt;0,"Loss","Break Even"))</f>
        <v>Profit</v>
      </c>
      <c r="R366" s="62" t="str" cm="1">
        <f t="array" ref="R366">_xlfn.IFS(L366=0,"No Discount",L366&lt;=5,"Low Discount",L366&lt;=10,"Medium Discount",L366&lt;=20,"High Discount")</f>
        <v>Medium Discount</v>
      </c>
      <c r="S366" s="20" t="s">
        <v>26</v>
      </c>
      <c r="T366" s="20" t="s">
        <v>36</v>
      </c>
      <c r="U366" s="23">
        <v>4.2</v>
      </c>
      <c r="V366" s="75" t="str" cm="1">
        <f t="array" ref="V366">_xlfn.IFS(U366=0,"Not Rated",U366&gt;=4.5,"High Rating",U366&gt;=3,"Medium Rating",U366&lt;3,"Low Rating")</f>
        <v>Medium Rating</v>
      </c>
    </row>
    <row r="367" spans="1:22" x14ac:dyDescent="0.3">
      <c r="A367" s="24" t="s">
        <v>450</v>
      </c>
      <c r="B367" s="25">
        <v>46190</v>
      </c>
      <c r="C367" s="26" t="s">
        <v>38</v>
      </c>
      <c r="D367" s="26" t="s">
        <v>39</v>
      </c>
      <c r="E367" s="26" t="s">
        <v>39</v>
      </c>
      <c r="F367" s="26" t="s">
        <v>32</v>
      </c>
      <c r="G367" s="26" t="s">
        <v>40</v>
      </c>
      <c r="H367" s="26" t="s">
        <v>45</v>
      </c>
      <c r="I367" s="26" t="s">
        <v>46</v>
      </c>
      <c r="J367" s="27">
        <v>1</v>
      </c>
      <c r="K367" s="28">
        <v>3102.72</v>
      </c>
      <c r="L367" s="27">
        <v>0</v>
      </c>
      <c r="M367" s="22">
        <f t="shared" si="5"/>
        <v>0</v>
      </c>
      <c r="N367" s="28">
        <v>3102.72</v>
      </c>
      <c r="O367" s="28">
        <v>1900</v>
      </c>
      <c r="P367" s="28">
        <v>1202.72</v>
      </c>
      <c r="Q367" s="72" t="str">
        <f>IF(retail_store_performance_dashbo!$P367&gt;0,"Profit",IF(retail_store_performance_dashbo!$P367&lt;0,"Loss","Break Even"))</f>
        <v>Profit</v>
      </c>
      <c r="R367" s="62" t="str" cm="1">
        <f t="array" ref="R367">_xlfn.IFS(L367=0,"No Discount",L367&lt;=5,"Low Discount",L367&lt;=10,"Medium Discount",L367&lt;=20,"High Discount")</f>
        <v>No Discount</v>
      </c>
      <c r="S367" s="26" t="s">
        <v>35</v>
      </c>
      <c r="T367" s="26" t="s">
        <v>36</v>
      </c>
      <c r="U367" s="29">
        <v>4.3</v>
      </c>
      <c r="V367" s="75" t="str" cm="1">
        <f t="array" ref="V367">_xlfn.IFS(U367=0,"Not Rated",U367&gt;=4.5,"High Rating",U367&gt;=3,"Medium Rating",U367&lt;3,"Low Rating")</f>
        <v>Medium Rating</v>
      </c>
    </row>
    <row r="368" spans="1:22" x14ac:dyDescent="0.3">
      <c r="A368" s="18" t="s">
        <v>141</v>
      </c>
      <c r="B368" s="19">
        <v>46191</v>
      </c>
      <c r="C368" s="20" t="s">
        <v>97</v>
      </c>
      <c r="D368" s="20" t="s">
        <v>98</v>
      </c>
      <c r="E368" s="20" t="s">
        <v>99</v>
      </c>
      <c r="F368" s="20" t="s">
        <v>54</v>
      </c>
      <c r="G368" s="20" t="s">
        <v>100</v>
      </c>
      <c r="H368" s="20" t="s">
        <v>58</v>
      </c>
      <c r="I368" s="20" t="s">
        <v>59</v>
      </c>
      <c r="J368" s="21">
        <v>3</v>
      </c>
      <c r="K368" s="22">
        <v>5111.07</v>
      </c>
      <c r="L368" s="21">
        <v>0</v>
      </c>
      <c r="M368" s="22">
        <f t="shared" si="5"/>
        <v>0</v>
      </c>
      <c r="N368" s="22">
        <v>15333.21</v>
      </c>
      <c r="O368" s="22">
        <v>10800</v>
      </c>
      <c r="P368" s="22">
        <v>4533.21</v>
      </c>
      <c r="Q368" s="62" t="str">
        <f>IF(retail_store_performance_dashbo!$P368&gt;0,"Profit",IF(retail_store_performance_dashbo!$P368&lt;0,"Loss","Break Even"))</f>
        <v>Profit</v>
      </c>
      <c r="R368" s="62" t="str" cm="1">
        <f t="array" ref="R368">_xlfn.IFS(L368=0,"No Discount",L368&lt;=5,"Low Discount",L368&lt;=10,"Medium Discount",L368&lt;=20,"High Discount")</f>
        <v>No Discount</v>
      </c>
      <c r="S368" s="20" t="s">
        <v>43</v>
      </c>
      <c r="T368" s="20" t="s">
        <v>36</v>
      </c>
      <c r="U368" s="23">
        <v>4.7</v>
      </c>
      <c r="V368" s="75" t="str" cm="1">
        <f t="array" ref="V368">_xlfn.IFS(U368=0,"Not Rated",U368&gt;=4.5,"High Rating",U368&gt;=3,"Medium Rating",U368&lt;3,"Low Rating")</f>
        <v>High Rating</v>
      </c>
    </row>
    <row r="369" spans="1:22" x14ac:dyDescent="0.3">
      <c r="A369" s="24" t="s">
        <v>336</v>
      </c>
      <c r="B369" s="25">
        <v>46191</v>
      </c>
      <c r="C369" s="26" t="s">
        <v>38</v>
      </c>
      <c r="D369" s="26" t="s">
        <v>39</v>
      </c>
      <c r="E369" s="26" t="s">
        <v>39</v>
      </c>
      <c r="F369" s="26" t="s">
        <v>32</v>
      </c>
      <c r="G369" s="26" t="s">
        <v>40</v>
      </c>
      <c r="H369" s="26" t="s">
        <v>48</v>
      </c>
      <c r="I369" s="26" t="s">
        <v>113</v>
      </c>
      <c r="J369" s="27">
        <v>6</v>
      </c>
      <c r="K369" s="28">
        <v>145.63999999999999</v>
      </c>
      <c r="L369" s="27">
        <v>0</v>
      </c>
      <c r="M369" s="22">
        <f t="shared" si="5"/>
        <v>0</v>
      </c>
      <c r="N369" s="28">
        <v>873.84</v>
      </c>
      <c r="O369" s="28">
        <v>720</v>
      </c>
      <c r="P369" s="28">
        <v>153.84</v>
      </c>
      <c r="Q369" s="72" t="str">
        <f>IF(retail_store_performance_dashbo!$P369&gt;0,"Profit",IF(retail_store_performance_dashbo!$P369&lt;0,"Loss","Break Even"))</f>
        <v>Profit</v>
      </c>
      <c r="R369" s="62" t="str" cm="1">
        <f t="array" ref="R369">_xlfn.IFS(L369=0,"No Discount",L369&lt;=5,"Low Discount",L369&lt;=10,"Medium Discount",L369&lt;=20,"High Discount")</f>
        <v>No Discount</v>
      </c>
      <c r="S369" s="26" t="s">
        <v>67</v>
      </c>
      <c r="T369" s="26" t="s">
        <v>36</v>
      </c>
      <c r="U369" s="29">
        <v>4.9000000000000004</v>
      </c>
      <c r="V369" s="75" t="str" cm="1">
        <f t="array" ref="V369">_xlfn.IFS(U369=0,"Not Rated",U369&gt;=4.5,"High Rating",U369&gt;=3,"Medium Rating",U369&lt;3,"Low Rating")</f>
        <v>High Rating</v>
      </c>
    </row>
    <row r="370" spans="1:22" x14ac:dyDescent="0.3">
      <c r="A370" s="18" t="s">
        <v>428</v>
      </c>
      <c r="B370" s="19">
        <v>46191</v>
      </c>
      <c r="C370" s="20" t="s">
        <v>97</v>
      </c>
      <c r="D370" s="20" t="s">
        <v>98</v>
      </c>
      <c r="E370" s="20" t="s">
        <v>99</v>
      </c>
      <c r="F370" s="20" t="s">
        <v>54</v>
      </c>
      <c r="G370" s="20" t="s">
        <v>100</v>
      </c>
      <c r="H370" s="20" t="s">
        <v>41</v>
      </c>
      <c r="I370" s="20" t="s">
        <v>92</v>
      </c>
      <c r="J370" s="21">
        <v>2</v>
      </c>
      <c r="K370" s="22">
        <v>53175.81</v>
      </c>
      <c r="L370" s="21">
        <v>10</v>
      </c>
      <c r="M370" s="22">
        <f t="shared" si="5"/>
        <v>10635.162</v>
      </c>
      <c r="N370" s="22">
        <v>95716.46</v>
      </c>
      <c r="O370" s="22">
        <v>84000</v>
      </c>
      <c r="P370" s="22">
        <v>11716.46</v>
      </c>
      <c r="Q370" s="62" t="str">
        <f>IF(retail_store_performance_dashbo!$P370&gt;0,"Profit",IF(retail_store_performance_dashbo!$P370&lt;0,"Loss","Break Even"))</f>
        <v>Profit</v>
      </c>
      <c r="R370" s="62" t="str" cm="1">
        <f t="array" ref="R370">_xlfn.IFS(L370=0,"No Discount",L370&lt;=5,"Low Discount",L370&lt;=10,"Medium Discount",L370&lt;=20,"High Discount")</f>
        <v>Medium Discount</v>
      </c>
      <c r="S370" s="20" t="s">
        <v>26</v>
      </c>
      <c r="T370" s="20" t="s">
        <v>36</v>
      </c>
      <c r="U370" s="23">
        <v>4.9000000000000004</v>
      </c>
      <c r="V370" s="75" t="str" cm="1">
        <f t="array" ref="V370">_xlfn.IFS(U370=0,"Not Rated",U370&gt;=4.5,"High Rating",U370&gt;=3,"Medium Rating",U370&lt;3,"Low Rating")</f>
        <v>High Rating</v>
      </c>
    </row>
    <row r="371" spans="1:22" x14ac:dyDescent="0.3">
      <c r="A371" s="24" t="s">
        <v>224</v>
      </c>
      <c r="B371" s="25">
        <v>46192</v>
      </c>
      <c r="C371" s="26" t="s">
        <v>19</v>
      </c>
      <c r="D371" s="26" t="s">
        <v>20</v>
      </c>
      <c r="E371" s="26" t="s">
        <v>21</v>
      </c>
      <c r="F371" s="26" t="s">
        <v>22</v>
      </c>
      <c r="G371" s="26" t="s">
        <v>23</v>
      </c>
      <c r="H371" s="26" t="s">
        <v>58</v>
      </c>
      <c r="I371" s="26" t="s">
        <v>72</v>
      </c>
      <c r="J371" s="27">
        <v>6</v>
      </c>
      <c r="K371" s="28">
        <v>3771.24</v>
      </c>
      <c r="L371" s="27">
        <v>20</v>
      </c>
      <c r="M371" s="22">
        <f t="shared" si="5"/>
        <v>4525.4880000000003</v>
      </c>
      <c r="N371" s="28">
        <v>18101.95</v>
      </c>
      <c r="O371" s="28">
        <v>16200</v>
      </c>
      <c r="P371" s="28">
        <v>1901.95</v>
      </c>
      <c r="Q371" s="72" t="str">
        <f>IF(retail_store_performance_dashbo!$P371&gt;0,"Profit",IF(retail_store_performance_dashbo!$P371&lt;0,"Loss","Break Even"))</f>
        <v>Profit</v>
      </c>
      <c r="R371" s="62" t="str" cm="1">
        <f t="array" ref="R371">_xlfn.IFS(L371=0,"No Discount",L371&lt;=5,"Low Discount",L371&lt;=10,"Medium Discount",L371&lt;=20,"High Discount")</f>
        <v>High Discount</v>
      </c>
      <c r="S371" s="26" t="s">
        <v>70</v>
      </c>
      <c r="T371" s="26" t="s">
        <v>36</v>
      </c>
      <c r="U371" s="29">
        <v>4.4000000000000004</v>
      </c>
      <c r="V371" s="75" t="str" cm="1">
        <f t="array" ref="V371">_xlfn.IFS(U371=0,"Not Rated",U371&gt;=4.5,"High Rating",U371&gt;=3,"Medium Rating",U371&lt;3,"Low Rating")</f>
        <v>Medium Rating</v>
      </c>
    </row>
    <row r="372" spans="1:22" x14ac:dyDescent="0.3">
      <c r="A372" s="18" t="s">
        <v>305</v>
      </c>
      <c r="B372" s="19">
        <v>46192</v>
      </c>
      <c r="C372" s="20" t="s">
        <v>146</v>
      </c>
      <c r="D372" s="20" t="s">
        <v>147</v>
      </c>
      <c r="E372" s="20" t="s">
        <v>148</v>
      </c>
      <c r="F372" s="20" t="s">
        <v>22</v>
      </c>
      <c r="G372" s="20" t="s">
        <v>149</v>
      </c>
      <c r="H372" s="20" t="s">
        <v>24</v>
      </c>
      <c r="I372" s="20" t="s">
        <v>34</v>
      </c>
      <c r="J372" s="21">
        <v>4</v>
      </c>
      <c r="K372" s="22">
        <v>1740.77</v>
      </c>
      <c r="L372" s="21">
        <v>5</v>
      </c>
      <c r="M372" s="22">
        <f t="shared" si="5"/>
        <v>348.154</v>
      </c>
      <c r="N372" s="22">
        <v>6614.93</v>
      </c>
      <c r="O372" s="22">
        <v>4200</v>
      </c>
      <c r="P372" s="22">
        <v>2414.9299999999998</v>
      </c>
      <c r="Q372" s="62" t="str">
        <f>IF(retail_store_performance_dashbo!$P372&gt;0,"Profit",IF(retail_store_performance_dashbo!$P372&lt;0,"Loss","Break Even"))</f>
        <v>Profit</v>
      </c>
      <c r="R372" s="62" t="str" cm="1">
        <f t="array" ref="R372">_xlfn.IFS(L372=0,"No Discount",L372&lt;=5,"Low Discount",L372&lt;=10,"Medium Discount",L372&lt;=20,"High Discount")</f>
        <v>Low Discount</v>
      </c>
      <c r="S372" s="20" t="s">
        <v>43</v>
      </c>
      <c r="T372" s="20" t="s">
        <v>36</v>
      </c>
      <c r="U372" s="23">
        <v>4.3</v>
      </c>
      <c r="V372" s="75" t="str" cm="1">
        <f t="array" ref="V372">_xlfn.IFS(U372=0,"Not Rated",U372&gt;=4.5,"High Rating",U372&gt;=3,"Medium Rating",U372&lt;3,"Low Rating")</f>
        <v>Medium Rating</v>
      </c>
    </row>
    <row r="373" spans="1:22" x14ac:dyDescent="0.3">
      <c r="A373" s="24" t="s">
        <v>555</v>
      </c>
      <c r="B373" s="25">
        <v>46193</v>
      </c>
      <c r="C373" s="26" t="s">
        <v>19</v>
      </c>
      <c r="D373" s="26" t="s">
        <v>20</v>
      </c>
      <c r="E373" s="26" t="s">
        <v>21</v>
      </c>
      <c r="F373" s="26" t="s">
        <v>22</v>
      </c>
      <c r="G373" s="26" t="s">
        <v>23</v>
      </c>
      <c r="H373" s="26" t="s">
        <v>45</v>
      </c>
      <c r="I373" s="26" t="s">
        <v>88</v>
      </c>
      <c r="J373" s="27">
        <v>3</v>
      </c>
      <c r="K373" s="28">
        <v>941.45</v>
      </c>
      <c r="L373" s="27">
        <v>5</v>
      </c>
      <c r="M373" s="22">
        <f t="shared" si="5"/>
        <v>141.21750000000003</v>
      </c>
      <c r="N373" s="28">
        <v>2683.13</v>
      </c>
      <c r="O373" s="28">
        <v>1500</v>
      </c>
      <c r="P373" s="28">
        <v>1183.1300000000001</v>
      </c>
      <c r="Q373" s="72" t="str">
        <f>IF(retail_store_performance_dashbo!$P373&gt;0,"Profit",IF(retail_store_performance_dashbo!$P373&lt;0,"Loss","Break Even"))</f>
        <v>Profit</v>
      </c>
      <c r="R373" s="62" t="str" cm="1">
        <f t="array" ref="R373">_xlfn.IFS(L373=0,"No Discount",L373&lt;=5,"Low Discount",L373&lt;=10,"Medium Discount",L373&lt;=20,"High Discount")</f>
        <v>Low Discount</v>
      </c>
      <c r="S373" s="26" t="s">
        <v>43</v>
      </c>
      <c r="T373" s="26" t="s">
        <v>36</v>
      </c>
      <c r="U373" s="29">
        <v>4.5999999999999996</v>
      </c>
      <c r="V373" s="75" t="str" cm="1">
        <f t="array" ref="V373">_xlfn.IFS(U373=0,"Not Rated",U373&gt;=4.5,"High Rating",U373&gt;=3,"Medium Rating",U373&lt;3,"Low Rating")</f>
        <v>High Rating</v>
      </c>
    </row>
    <row r="374" spans="1:22" x14ac:dyDescent="0.3">
      <c r="A374" s="18" t="s">
        <v>194</v>
      </c>
      <c r="B374" s="19">
        <v>46194</v>
      </c>
      <c r="C374" s="20" t="s">
        <v>19</v>
      </c>
      <c r="D374" s="20" t="s">
        <v>20</v>
      </c>
      <c r="E374" s="20" t="s">
        <v>21</v>
      </c>
      <c r="F374" s="20" t="s">
        <v>22</v>
      </c>
      <c r="G374" s="20" t="s">
        <v>23</v>
      </c>
      <c r="H374" s="20" t="s">
        <v>24</v>
      </c>
      <c r="I374" s="20" t="s">
        <v>25</v>
      </c>
      <c r="J374" s="21">
        <v>3</v>
      </c>
      <c r="K374" s="22">
        <v>335.41</v>
      </c>
      <c r="L374" s="21">
        <v>0</v>
      </c>
      <c r="M374" s="22">
        <f t="shared" si="5"/>
        <v>0</v>
      </c>
      <c r="N374" s="22">
        <v>1006.23</v>
      </c>
      <c r="O374" s="22">
        <v>660</v>
      </c>
      <c r="P374" s="22">
        <v>346.23</v>
      </c>
      <c r="Q374" s="62" t="str">
        <f>IF(retail_store_performance_dashbo!$P374&gt;0,"Profit",IF(retail_store_performance_dashbo!$P374&lt;0,"Loss","Break Even"))</f>
        <v>Profit</v>
      </c>
      <c r="R374" s="62" t="str" cm="1">
        <f t="array" ref="R374">_xlfn.IFS(L374=0,"No Discount",L374&lt;=5,"Low Discount",L374&lt;=10,"Medium Discount",L374&lt;=20,"High Discount")</f>
        <v>No Discount</v>
      </c>
      <c r="S374" s="20" t="s">
        <v>43</v>
      </c>
      <c r="T374" s="20" t="s">
        <v>36</v>
      </c>
      <c r="U374" s="23">
        <v>3.5</v>
      </c>
      <c r="V374" s="75" t="str" cm="1">
        <f t="array" ref="V374">_xlfn.IFS(U374=0,"Not Rated",U374&gt;=4.5,"High Rating",U374&gt;=3,"Medium Rating",U374&lt;3,"Low Rating")</f>
        <v>Medium Rating</v>
      </c>
    </row>
    <row r="375" spans="1:22" x14ac:dyDescent="0.3">
      <c r="A375" s="24" t="s">
        <v>409</v>
      </c>
      <c r="B375" s="25">
        <v>46194</v>
      </c>
      <c r="C375" s="26" t="s">
        <v>61</v>
      </c>
      <c r="D375" s="26" t="s">
        <v>62</v>
      </c>
      <c r="E375" s="26" t="s">
        <v>63</v>
      </c>
      <c r="F375" s="26" t="s">
        <v>22</v>
      </c>
      <c r="G375" s="26" t="s">
        <v>64</v>
      </c>
      <c r="H375" s="26" t="s">
        <v>24</v>
      </c>
      <c r="I375" s="26" t="s">
        <v>34</v>
      </c>
      <c r="J375" s="27">
        <v>1</v>
      </c>
      <c r="K375" s="28">
        <v>1781.47</v>
      </c>
      <c r="L375" s="27">
        <v>5</v>
      </c>
      <c r="M375" s="22">
        <f t="shared" si="5"/>
        <v>89.07350000000001</v>
      </c>
      <c r="N375" s="28">
        <v>0</v>
      </c>
      <c r="O375" s="28">
        <v>1050</v>
      </c>
      <c r="P375" s="28">
        <v>0</v>
      </c>
      <c r="Q375" s="72" t="str">
        <f>IF(retail_store_performance_dashbo!$P375&gt;0,"Profit",IF(retail_store_performance_dashbo!$P375&lt;0,"Loss","Break Even"))</f>
        <v>Break Even</v>
      </c>
      <c r="R375" s="62" t="str" cm="1">
        <f t="array" ref="R375">_xlfn.IFS(L375=0,"No Discount",L375&lt;=5,"Low Discount",L375&lt;=10,"Medium Discount",L375&lt;=20,"High Discount")</f>
        <v>Low Discount</v>
      </c>
      <c r="S375" s="26" t="s">
        <v>35</v>
      </c>
      <c r="T375" s="26" t="s">
        <v>83</v>
      </c>
      <c r="U375" s="29">
        <v>0</v>
      </c>
      <c r="V375" s="75" t="str" cm="1">
        <f t="array" ref="V375">_xlfn.IFS(U375=0,"Not Rated",U375&gt;=4.5,"High Rating",U375&gt;=3,"Medium Rating",U375&lt;3,"Low Rating")</f>
        <v>Not Rated</v>
      </c>
    </row>
    <row r="376" spans="1:22" x14ac:dyDescent="0.3">
      <c r="A376" s="18" t="s">
        <v>144</v>
      </c>
      <c r="B376" s="19">
        <v>46195</v>
      </c>
      <c r="C376" s="20" t="s">
        <v>29</v>
      </c>
      <c r="D376" s="20" t="s">
        <v>30</v>
      </c>
      <c r="E376" s="20" t="s">
        <v>31</v>
      </c>
      <c r="F376" s="20" t="s">
        <v>32</v>
      </c>
      <c r="G376" s="20" t="s">
        <v>33</v>
      </c>
      <c r="H376" s="20" t="s">
        <v>48</v>
      </c>
      <c r="I376" s="20" t="s">
        <v>49</v>
      </c>
      <c r="J376" s="21">
        <v>1</v>
      </c>
      <c r="K376" s="22">
        <v>285.02</v>
      </c>
      <c r="L376" s="21">
        <v>20</v>
      </c>
      <c r="M376" s="22">
        <f t="shared" si="5"/>
        <v>57.003999999999998</v>
      </c>
      <c r="N376" s="22">
        <v>-228.02</v>
      </c>
      <c r="O376" s="22">
        <v>210</v>
      </c>
      <c r="P376" s="22">
        <v>-438.02</v>
      </c>
      <c r="Q376" s="62" t="str">
        <f>IF(retail_store_performance_dashbo!$P376&gt;0,"Profit",IF(retail_store_performance_dashbo!$P376&lt;0,"Loss","Break Even"))</f>
        <v>Loss</v>
      </c>
      <c r="R376" s="62" t="str" cm="1">
        <f t="array" ref="R376">_xlfn.IFS(L376=0,"No Discount",L376&lt;=5,"Low Discount",L376&lt;=10,"Medium Discount",L376&lt;=20,"High Discount")</f>
        <v>High Discount</v>
      </c>
      <c r="S376" s="20" t="s">
        <v>26</v>
      </c>
      <c r="T376" s="20" t="s">
        <v>27</v>
      </c>
      <c r="U376" s="23">
        <v>4.7</v>
      </c>
      <c r="V376" s="75" t="str" cm="1">
        <f t="array" ref="V376">_xlfn.IFS(U376=0,"Not Rated",U376&gt;=4.5,"High Rating",U376&gt;=3,"Medium Rating",U376&lt;3,"Low Rating")</f>
        <v>High Rating</v>
      </c>
    </row>
    <row r="377" spans="1:22" x14ac:dyDescent="0.3">
      <c r="A377" s="24" t="s">
        <v>338</v>
      </c>
      <c r="B377" s="25">
        <v>46195</v>
      </c>
      <c r="C377" s="26" t="s">
        <v>29</v>
      </c>
      <c r="D377" s="26" t="s">
        <v>30</v>
      </c>
      <c r="E377" s="26" t="s">
        <v>31</v>
      </c>
      <c r="F377" s="26" t="s">
        <v>32</v>
      </c>
      <c r="G377" s="26" t="s">
        <v>33</v>
      </c>
      <c r="H377" s="26" t="s">
        <v>24</v>
      </c>
      <c r="I377" s="26" t="s">
        <v>34</v>
      </c>
      <c r="J377" s="27">
        <v>1</v>
      </c>
      <c r="K377" s="28">
        <v>1806.77</v>
      </c>
      <c r="L377" s="27">
        <v>10</v>
      </c>
      <c r="M377" s="22">
        <f t="shared" si="5"/>
        <v>180.67700000000002</v>
      </c>
      <c r="N377" s="28">
        <v>1626.09</v>
      </c>
      <c r="O377" s="28">
        <v>1050</v>
      </c>
      <c r="P377" s="28">
        <v>576.09</v>
      </c>
      <c r="Q377" s="72" t="str">
        <f>IF(retail_store_performance_dashbo!$P377&gt;0,"Profit",IF(retail_store_performance_dashbo!$P377&lt;0,"Loss","Break Even"))</f>
        <v>Profit</v>
      </c>
      <c r="R377" s="62" t="str" cm="1">
        <f t="array" ref="R377">_xlfn.IFS(L377=0,"No Discount",L377&lt;=5,"Low Discount",L377&lt;=10,"Medium Discount",L377&lt;=20,"High Discount")</f>
        <v>Medium Discount</v>
      </c>
      <c r="S377" s="26" t="s">
        <v>70</v>
      </c>
      <c r="T377" s="26" t="s">
        <v>36</v>
      </c>
      <c r="U377" s="29">
        <v>4.7</v>
      </c>
      <c r="V377" s="75" t="str" cm="1">
        <f t="array" ref="V377">_xlfn.IFS(U377=0,"Not Rated",U377&gt;=4.5,"High Rating",U377&gt;=3,"Medium Rating",U377&lt;3,"Low Rating")</f>
        <v>High Rating</v>
      </c>
    </row>
    <row r="378" spans="1:22" x14ac:dyDescent="0.3">
      <c r="A378" s="18" t="s">
        <v>44</v>
      </c>
      <c r="B378" s="19">
        <v>46196</v>
      </c>
      <c r="C378" s="20" t="s">
        <v>19</v>
      </c>
      <c r="D378" s="20" t="s">
        <v>20</v>
      </c>
      <c r="E378" s="20" t="s">
        <v>21</v>
      </c>
      <c r="F378" s="20" t="s">
        <v>22</v>
      </c>
      <c r="G378" s="20" t="s">
        <v>23</v>
      </c>
      <c r="H378" s="20" t="s">
        <v>45</v>
      </c>
      <c r="I378" s="20" t="s">
        <v>46</v>
      </c>
      <c r="J378" s="21">
        <v>4</v>
      </c>
      <c r="K378" s="22">
        <v>3120.48</v>
      </c>
      <c r="L378" s="21">
        <v>10</v>
      </c>
      <c r="M378" s="22">
        <f t="shared" si="5"/>
        <v>1248.192</v>
      </c>
      <c r="N378" s="22">
        <v>11233.73</v>
      </c>
      <c r="O378" s="22">
        <v>7600</v>
      </c>
      <c r="P378" s="22">
        <v>3633.73</v>
      </c>
      <c r="Q378" s="62" t="str">
        <f>IF(retail_store_performance_dashbo!$P378&gt;0,"Profit",IF(retail_store_performance_dashbo!$P378&lt;0,"Loss","Break Even"))</f>
        <v>Profit</v>
      </c>
      <c r="R378" s="62" t="str" cm="1">
        <f t="array" ref="R378">_xlfn.IFS(L378=0,"No Discount",L378&lt;=5,"Low Discount",L378&lt;=10,"Medium Discount",L378&lt;=20,"High Discount")</f>
        <v>Medium Discount</v>
      </c>
      <c r="S378" s="20" t="s">
        <v>26</v>
      </c>
      <c r="T378" s="20" t="s">
        <v>36</v>
      </c>
      <c r="U378" s="23">
        <v>5</v>
      </c>
      <c r="V378" s="75" t="str" cm="1">
        <f t="array" ref="V378">_xlfn.IFS(U378=0,"Not Rated",U378&gt;=4.5,"High Rating",U378&gt;=3,"Medium Rating",U378&lt;3,"Low Rating")</f>
        <v>High Rating</v>
      </c>
    </row>
    <row r="379" spans="1:22" x14ac:dyDescent="0.3">
      <c r="A379" s="24" t="s">
        <v>115</v>
      </c>
      <c r="B379" s="25">
        <v>46198</v>
      </c>
      <c r="C379" s="26" t="s">
        <v>19</v>
      </c>
      <c r="D379" s="26" t="s">
        <v>20</v>
      </c>
      <c r="E379" s="26" t="s">
        <v>21</v>
      </c>
      <c r="F379" s="26" t="s">
        <v>22</v>
      </c>
      <c r="G379" s="26" t="s">
        <v>23</v>
      </c>
      <c r="H379" s="26" t="s">
        <v>24</v>
      </c>
      <c r="I379" s="26" t="s">
        <v>25</v>
      </c>
      <c r="J379" s="27">
        <v>6</v>
      </c>
      <c r="K379" s="28">
        <v>366.6</v>
      </c>
      <c r="L379" s="27">
        <v>10</v>
      </c>
      <c r="M379" s="22">
        <f t="shared" si="5"/>
        <v>219.96000000000004</v>
      </c>
      <c r="N379" s="28">
        <v>1979.64</v>
      </c>
      <c r="O379" s="28">
        <v>1320</v>
      </c>
      <c r="P379" s="28">
        <v>659.64</v>
      </c>
      <c r="Q379" s="72" t="str">
        <f>IF(retail_store_performance_dashbo!$P379&gt;0,"Profit",IF(retail_store_performance_dashbo!$P379&lt;0,"Loss","Break Even"))</f>
        <v>Profit</v>
      </c>
      <c r="R379" s="62" t="str" cm="1">
        <f t="array" ref="R379">_xlfn.IFS(L379=0,"No Discount",L379&lt;=5,"Low Discount",L379&lt;=10,"Medium Discount",L379&lt;=20,"High Discount")</f>
        <v>Medium Discount</v>
      </c>
      <c r="S379" s="26" t="s">
        <v>70</v>
      </c>
      <c r="T379" s="26" t="s">
        <v>36</v>
      </c>
      <c r="U379" s="29">
        <v>4.9000000000000004</v>
      </c>
      <c r="V379" s="75" t="str" cm="1">
        <f t="array" ref="V379">_xlfn.IFS(U379=0,"Not Rated",U379&gt;=4.5,"High Rating",U379&gt;=3,"Medium Rating",U379&lt;3,"Low Rating")</f>
        <v>High Rating</v>
      </c>
    </row>
    <row r="380" spans="1:22" x14ac:dyDescent="0.3">
      <c r="A380" s="18" t="s">
        <v>381</v>
      </c>
      <c r="B380" s="19">
        <v>46198</v>
      </c>
      <c r="C380" s="20" t="s">
        <v>97</v>
      </c>
      <c r="D380" s="20" t="s">
        <v>98</v>
      </c>
      <c r="E380" s="20" t="s">
        <v>99</v>
      </c>
      <c r="F380" s="20" t="s">
        <v>54</v>
      </c>
      <c r="G380" s="20" t="s">
        <v>100</v>
      </c>
      <c r="H380" s="20" t="s">
        <v>45</v>
      </c>
      <c r="I380" s="20" t="s">
        <v>101</v>
      </c>
      <c r="J380" s="21">
        <v>3</v>
      </c>
      <c r="K380" s="22">
        <v>1881.11</v>
      </c>
      <c r="L380" s="21">
        <v>0</v>
      </c>
      <c r="M380" s="22">
        <f t="shared" si="5"/>
        <v>0</v>
      </c>
      <c r="N380" s="22">
        <v>0</v>
      </c>
      <c r="O380" s="22">
        <v>3150</v>
      </c>
      <c r="P380" s="22">
        <v>0</v>
      </c>
      <c r="Q380" s="62" t="str">
        <f>IF(retail_store_performance_dashbo!$P380&gt;0,"Profit",IF(retail_store_performance_dashbo!$P380&lt;0,"Loss","Break Even"))</f>
        <v>Break Even</v>
      </c>
      <c r="R380" s="62" t="str" cm="1">
        <f t="array" ref="R380">_xlfn.IFS(L380=0,"No Discount",L380&lt;=5,"Low Discount",L380&lt;=10,"Medium Discount",L380&lt;=20,"High Discount")</f>
        <v>No Discount</v>
      </c>
      <c r="S380" s="20" t="s">
        <v>35</v>
      </c>
      <c r="T380" s="20" t="s">
        <v>83</v>
      </c>
      <c r="U380" s="23">
        <v>0</v>
      </c>
      <c r="V380" s="75" t="str" cm="1">
        <f t="array" ref="V380">_xlfn.IFS(U380=0,"Not Rated",U380&gt;=4.5,"High Rating",U380&gt;=3,"Medium Rating",U380&lt;3,"Low Rating")</f>
        <v>Not Rated</v>
      </c>
    </row>
    <row r="381" spans="1:22" x14ac:dyDescent="0.3">
      <c r="A381" s="24" t="s">
        <v>171</v>
      </c>
      <c r="B381" s="25">
        <v>46199</v>
      </c>
      <c r="C381" s="26" t="s">
        <v>97</v>
      </c>
      <c r="D381" s="26" t="s">
        <v>98</v>
      </c>
      <c r="E381" s="26" t="s">
        <v>99</v>
      </c>
      <c r="F381" s="26" t="s">
        <v>54</v>
      </c>
      <c r="G381" s="26" t="s">
        <v>100</v>
      </c>
      <c r="H381" s="26" t="s">
        <v>41</v>
      </c>
      <c r="I381" s="26" t="s">
        <v>42</v>
      </c>
      <c r="J381" s="27">
        <v>2</v>
      </c>
      <c r="K381" s="28">
        <v>4366.6099999999997</v>
      </c>
      <c r="L381" s="27">
        <v>15</v>
      </c>
      <c r="M381" s="22">
        <f t="shared" si="5"/>
        <v>1309.9829999999999</v>
      </c>
      <c r="N381" s="28">
        <v>7423.24</v>
      </c>
      <c r="O381" s="28">
        <v>5800</v>
      </c>
      <c r="P381" s="28">
        <v>1623.24</v>
      </c>
      <c r="Q381" s="72" t="str">
        <f>IF(retail_store_performance_dashbo!$P381&gt;0,"Profit",IF(retail_store_performance_dashbo!$P381&lt;0,"Loss","Break Even"))</f>
        <v>Profit</v>
      </c>
      <c r="R381" s="62" t="str" cm="1">
        <f t="array" ref="R381">_xlfn.IFS(L381=0,"No Discount",L381&lt;=5,"Low Discount",L381&lt;=10,"Medium Discount",L381&lt;=20,"High Discount")</f>
        <v>High Discount</v>
      </c>
      <c r="S381" s="26" t="s">
        <v>43</v>
      </c>
      <c r="T381" s="26" t="s">
        <v>36</v>
      </c>
      <c r="U381" s="29">
        <v>4.9000000000000004</v>
      </c>
      <c r="V381" s="75" t="str" cm="1">
        <f t="array" ref="V381">_xlfn.IFS(U381=0,"Not Rated",U381&gt;=4.5,"High Rating",U381&gt;=3,"Medium Rating",U381&lt;3,"Low Rating")</f>
        <v>High Rating</v>
      </c>
    </row>
    <row r="382" spans="1:22" x14ac:dyDescent="0.3">
      <c r="A382" s="18" t="s">
        <v>179</v>
      </c>
      <c r="B382" s="19">
        <v>46199</v>
      </c>
      <c r="C382" s="20" t="s">
        <v>146</v>
      </c>
      <c r="D382" s="20" t="s">
        <v>147</v>
      </c>
      <c r="E382" s="20" t="s">
        <v>148</v>
      </c>
      <c r="F382" s="20" t="s">
        <v>22</v>
      </c>
      <c r="G382" s="20" t="s">
        <v>149</v>
      </c>
      <c r="H382" s="20" t="s">
        <v>58</v>
      </c>
      <c r="I382" s="20" t="s">
        <v>72</v>
      </c>
      <c r="J382" s="21">
        <v>2</v>
      </c>
      <c r="K382" s="22">
        <v>3805.35</v>
      </c>
      <c r="L382" s="21">
        <v>10</v>
      </c>
      <c r="M382" s="22">
        <f t="shared" si="5"/>
        <v>761.07</v>
      </c>
      <c r="N382" s="22">
        <v>6849.63</v>
      </c>
      <c r="O382" s="22">
        <v>5400</v>
      </c>
      <c r="P382" s="22">
        <v>1449.63</v>
      </c>
      <c r="Q382" s="62" t="str">
        <f>IF(retail_store_performance_dashbo!$P382&gt;0,"Profit",IF(retail_store_performance_dashbo!$P382&lt;0,"Loss","Break Even"))</f>
        <v>Profit</v>
      </c>
      <c r="R382" s="62" t="str" cm="1">
        <f t="array" ref="R382">_xlfn.IFS(L382=0,"No Discount",L382&lt;=5,"Low Discount",L382&lt;=10,"Medium Discount",L382&lt;=20,"High Discount")</f>
        <v>Medium Discount</v>
      </c>
      <c r="S382" s="20" t="s">
        <v>26</v>
      </c>
      <c r="T382" s="20" t="s">
        <v>36</v>
      </c>
      <c r="U382" s="23">
        <v>4</v>
      </c>
      <c r="V382" s="75" t="str" cm="1">
        <f t="array" ref="V382">_xlfn.IFS(U382=0,"Not Rated",U382&gt;=4.5,"High Rating",U382&gt;=3,"Medium Rating",U382&lt;3,"Low Rating")</f>
        <v>Medium Rating</v>
      </c>
    </row>
    <row r="383" spans="1:22" x14ac:dyDescent="0.3">
      <c r="A383" s="24" t="s">
        <v>219</v>
      </c>
      <c r="B383" s="25">
        <v>46200</v>
      </c>
      <c r="C383" s="26" t="s">
        <v>146</v>
      </c>
      <c r="D383" s="26" t="s">
        <v>147</v>
      </c>
      <c r="E383" s="26" t="s">
        <v>148</v>
      </c>
      <c r="F383" s="26" t="s">
        <v>22</v>
      </c>
      <c r="G383" s="26" t="s">
        <v>149</v>
      </c>
      <c r="H383" s="26" t="s">
        <v>48</v>
      </c>
      <c r="I383" s="26" t="s">
        <v>56</v>
      </c>
      <c r="J383" s="27">
        <v>1</v>
      </c>
      <c r="K383" s="28">
        <v>99.1</v>
      </c>
      <c r="L383" s="27">
        <v>0</v>
      </c>
      <c r="M383" s="22">
        <f t="shared" si="5"/>
        <v>0</v>
      </c>
      <c r="N383" s="28">
        <v>99.1</v>
      </c>
      <c r="O383" s="28">
        <v>72</v>
      </c>
      <c r="P383" s="28">
        <v>27.1</v>
      </c>
      <c r="Q383" s="72" t="str">
        <f>IF(retail_store_performance_dashbo!$P383&gt;0,"Profit",IF(retail_store_performance_dashbo!$P383&lt;0,"Loss","Break Even"))</f>
        <v>Profit</v>
      </c>
      <c r="R383" s="62" t="str" cm="1">
        <f t="array" ref="R383">_xlfn.IFS(L383=0,"No Discount",L383&lt;=5,"Low Discount",L383&lt;=10,"Medium Discount",L383&lt;=20,"High Discount")</f>
        <v>No Discount</v>
      </c>
      <c r="S383" s="26" t="s">
        <v>70</v>
      </c>
      <c r="T383" s="26" t="s">
        <v>36</v>
      </c>
      <c r="U383" s="29">
        <v>4.2</v>
      </c>
      <c r="V383" s="75" t="str" cm="1">
        <f t="array" ref="V383">_xlfn.IFS(U383=0,"Not Rated",U383&gt;=4.5,"High Rating",U383&gt;=3,"Medium Rating",U383&lt;3,"Low Rating")</f>
        <v>Medium Rating</v>
      </c>
    </row>
    <row r="384" spans="1:22" x14ac:dyDescent="0.3">
      <c r="A384" s="18" t="s">
        <v>256</v>
      </c>
      <c r="B384" s="19">
        <v>46200</v>
      </c>
      <c r="C384" s="20" t="s">
        <v>38</v>
      </c>
      <c r="D384" s="20" t="s">
        <v>39</v>
      </c>
      <c r="E384" s="20" t="s">
        <v>39</v>
      </c>
      <c r="F384" s="20" t="s">
        <v>32</v>
      </c>
      <c r="G384" s="20" t="s">
        <v>40</v>
      </c>
      <c r="H384" s="20" t="s">
        <v>41</v>
      </c>
      <c r="I384" s="20" t="s">
        <v>92</v>
      </c>
      <c r="J384" s="21">
        <v>3</v>
      </c>
      <c r="K384" s="22">
        <v>56834.77</v>
      </c>
      <c r="L384" s="21">
        <v>20</v>
      </c>
      <c r="M384" s="22">
        <f t="shared" si="5"/>
        <v>34100.862000000001</v>
      </c>
      <c r="N384" s="22">
        <v>136403.45000000001</v>
      </c>
      <c r="O384" s="22">
        <v>126000</v>
      </c>
      <c r="P384" s="22">
        <v>10403.450000000001</v>
      </c>
      <c r="Q384" s="62" t="str">
        <f>IF(retail_store_performance_dashbo!$P384&gt;0,"Profit",IF(retail_store_performance_dashbo!$P384&lt;0,"Loss","Break Even"))</f>
        <v>Profit</v>
      </c>
      <c r="R384" s="62" t="str" cm="1">
        <f t="array" ref="R384">_xlfn.IFS(L384=0,"No Discount",L384&lt;=5,"Low Discount",L384&lt;=10,"Medium Discount",L384&lt;=20,"High Discount")</f>
        <v>High Discount</v>
      </c>
      <c r="S384" s="20" t="s">
        <v>43</v>
      </c>
      <c r="T384" s="20" t="s">
        <v>36</v>
      </c>
      <c r="U384" s="23">
        <v>4.5999999999999996</v>
      </c>
      <c r="V384" s="75" t="str" cm="1">
        <f t="array" ref="V384">_xlfn.IFS(U384=0,"Not Rated",U384&gt;=4.5,"High Rating",U384&gt;=3,"Medium Rating",U384&lt;3,"Low Rating")</f>
        <v>High Rating</v>
      </c>
    </row>
    <row r="385" spans="1:22" x14ac:dyDescent="0.3">
      <c r="A385" s="24" t="s">
        <v>412</v>
      </c>
      <c r="B385" s="25">
        <v>46200</v>
      </c>
      <c r="C385" s="26" t="s">
        <v>19</v>
      </c>
      <c r="D385" s="26" t="s">
        <v>20</v>
      </c>
      <c r="E385" s="26" t="s">
        <v>21</v>
      </c>
      <c r="F385" s="26" t="s">
        <v>22</v>
      </c>
      <c r="G385" s="26" t="s">
        <v>23</v>
      </c>
      <c r="H385" s="26" t="s">
        <v>45</v>
      </c>
      <c r="I385" s="26" t="s">
        <v>88</v>
      </c>
      <c r="J385" s="27">
        <v>2</v>
      </c>
      <c r="K385" s="28">
        <v>869.81</v>
      </c>
      <c r="L385" s="27">
        <v>10</v>
      </c>
      <c r="M385" s="22">
        <f t="shared" si="5"/>
        <v>173.96199999999996</v>
      </c>
      <c r="N385" s="28">
        <v>-1565.66</v>
      </c>
      <c r="O385" s="28">
        <v>1000</v>
      </c>
      <c r="P385" s="28">
        <v>-2565.66</v>
      </c>
      <c r="Q385" s="72" t="str">
        <f>IF(retail_store_performance_dashbo!$P385&gt;0,"Profit",IF(retail_store_performance_dashbo!$P385&lt;0,"Loss","Break Even"))</f>
        <v>Loss</v>
      </c>
      <c r="R385" s="62" t="str" cm="1">
        <f t="array" ref="R385">_xlfn.IFS(L385=0,"No Discount",L385&lt;=5,"Low Discount",L385&lt;=10,"Medium Discount",L385&lt;=20,"High Discount")</f>
        <v>Medium Discount</v>
      </c>
      <c r="S385" s="26" t="s">
        <v>35</v>
      </c>
      <c r="T385" s="26" t="s">
        <v>27</v>
      </c>
      <c r="U385" s="29">
        <v>4.3</v>
      </c>
      <c r="V385" s="75" t="str" cm="1">
        <f t="array" ref="V385">_xlfn.IFS(U385=0,"Not Rated",U385&gt;=4.5,"High Rating",U385&gt;=3,"Medium Rating",U385&lt;3,"Low Rating")</f>
        <v>Medium Rating</v>
      </c>
    </row>
    <row r="386" spans="1:22" x14ac:dyDescent="0.3">
      <c r="A386" s="18" t="s">
        <v>435</v>
      </c>
      <c r="B386" s="19">
        <v>46200</v>
      </c>
      <c r="C386" s="20" t="s">
        <v>97</v>
      </c>
      <c r="D386" s="20" t="s">
        <v>98</v>
      </c>
      <c r="E386" s="20" t="s">
        <v>99</v>
      </c>
      <c r="F386" s="20" t="s">
        <v>54</v>
      </c>
      <c r="G386" s="20" t="s">
        <v>100</v>
      </c>
      <c r="H386" s="20" t="s">
        <v>24</v>
      </c>
      <c r="I386" s="20" t="s">
        <v>75</v>
      </c>
      <c r="J386" s="21">
        <v>6</v>
      </c>
      <c r="K386" s="22">
        <v>442.22</v>
      </c>
      <c r="L386" s="21">
        <v>0</v>
      </c>
      <c r="M386" s="22">
        <f t="shared" si="5"/>
        <v>0</v>
      </c>
      <c r="N386" s="22">
        <v>2653.32</v>
      </c>
      <c r="O386" s="22">
        <v>1740</v>
      </c>
      <c r="P386" s="22">
        <v>913.32</v>
      </c>
      <c r="Q386" s="62" t="str">
        <f>IF(retail_store_performance_dashbo!$P386&gt;0,"Profit",IF(retail_store_performance_dashbo!$P386&lt;0,"Loss","Break Even"))</f>
        <v>Profit</v>
      </c>
      <c r="R386" s="62" t="str" cm="1">
        <f t="array" ref="R386">_xlfn.IFS(L386=0,"No Discount",L386&lt;=5,"Low Discount",L386&lt;=10,"Medium Discount",L386&lt;=20,"High Discount")</f>
        <v>No Discount</v>
      </c>
      <c r="S386" s="20" t="s">
        <v>43</v>
      </c>
      <c r="T386" s="20" t="s">
        <v>36</v>
      </c>
      <c r="U386" s="23">
        <v>3.6</v>
      </c>
      <c r="V386" s="75" t="str" cm="1">
        <f t="array" ref="V386">_xlfn.IFS(U386=0,"Not Rated",U386&gt;=4.5,"High Rating",U386&gt;=3,"Medium Rating",U386&lt;3,"Low Rating")</f>
        <v>Medium Rating</v>
      </c>
    </row>
    <row r="387" spans="1:22" x14ac:dyDescent="0.3">
      <c r="A387" s="24" t="s">
        <v>513</v>
      </c>
      <c r="B387" s="25">
        <v>46200</v>
      </c>
      <c r="C387" s="26" t="s">
        <v>77</v>
      </c>
      <c r="D387" s="26" t="s">
        <v>78</v>
      </c>
      <c r="E387" s="26" t="s">
        <v>79</v>
      </c>
      <c r="F387" s="26" t="s">
        <v>80</v>
      </c>
      <c r="G387" s="26" t="s">
        <v>81</v>
      </c>
      <c r="H387" s="26" t="s">
        <v>48</v>
      </c>
      <c r="I387" s="26" t="s">
        <v>109</v>
      </c>
      <c r="J387" s="27">
        <v>4</v>
      </c>
      <c r="K387" s="28">
        <v>667.82</v>
      </c>
      <c r="L387" s="27">
        <v>0</v>
      </c>
      <c r="M387" s="22">
        <f t="shared" ref="M387:M450" si="6">J387*K387*L387/100</f>
        <v>0</v>
      </c>
      <c r="N387" s="28">
        <v>2671.28</v>
      </c>
      <c r="O387" s="28">
        <v>2040</v>
      </c>
      <c r="P387" s="28">
        <v>631.28</v>
      </c>
      <c r="Q387" s="72" t="str">
        <f>IF(retail_store_performance_dashbo!$P387&gt;0,"Profit",IF(retail_store_performance_dashbo!$P387&lt;0,"Loss","Break Even"))</f>
        <v>Profit</v>
      </c>
      <c r="R387" s="62" t="str" cm="1">
        <f t="array" ref="R387">_xlfn.IFS(L387=0,"No Discount",L387&lt;=5,"Low Discount",L387&lt;=10,"Medium Discount",L387&lt;=20,"High Discount")</f>
        <v>No Discount</v>
      </c>
      <c r="S387" s="26" t="s">
        <v>35</v>
      </c>
      <c r="T387" s="26" t="s">
        <v>36</v>
      </c>
      <c r="U387" s="29">
        <v>3.4</v>
      </c>
      <c r="V387" s="75" t="str" cm="1">
        <f t="array" ref="V387">_xlfn.IFS(U387=0,"Not Rated",U387&gt;=4.5,"High Rating",U387&gt;=3,"Medium Rating",U387&lt;3,"Low Rating")</f>
        <v>Medium Rating</v>
      </c>
    </row>
    <row r="388" spans="1:22" x14ac:dyDescent="0.3">
      <c r="A388" s="18" t="s">
        <v>427</v>
      </c>
      <c r="B388" s="19">
        <v>46202</v>
      </c>
      <c r="C388" s="20" t="s">
        <v>97</v>
      </c>
      <c r="D388" s="20" t="s">
        <v>98</v>
      </c>
      <c r="E388" s="20" t="s">
        <v>99</v>
      </c>
      <c r="F388" s="20" t="s">
        <v>54</v>
      </c>
      <c r="G388" s="20" t="s">
        <v>100</v>
      </c>
      <c r="H388" s="20" t="s">
        <v>48</v>
      </c>
      <c r="I388" s="20" t="s">
        <v>109</v>
      </c>
      <c r="J388" s="21">
        <v>5</v>
      </c>
      <c r="K388" s="22">
        <v>623.30999999999995</v>
      </c>
      <c r="L388" s="21">
        <v>0</v>
      </c>
      <c r="M388" s="22">
        <f t="shared" si="6"/>
        <v>0</v>
      </c>
      <c r="N388" s="22">
        <v>3116.55</v>
      </c>
      <c r="O388" s="22">
        <v>2550</v>
      </c>
      <c r="P388" s="22">
        <v>566.54999999999995</v>
      </c>
      <c r="Q388" s="62" t="str">
        <f>IF(retail_store_performance_dashbo!$P388&gt;0,"Profit",IF(retail_store_performance_dashbo!$P388&lt;0,"Loss","Break Even"))</f>
        <v>Profit</v>
      </c>
      <c r="R388" s="62" t="str" cm="1">
        <f t="array" ref="R388">_xlfn.IFS(L388=0,"No Discount",L388&lt;=5,"Low Discount",L388&lt;=10,"Medium Discount",L388&lt;=20,"High Discount")</f>
        <v>No Discount</v>
      </c>
      <c r="S388" s="20" t="s">
        <v>43</v>
      </c>
      <c r="T388" s="20" t="s">
        <v>36</v>
      </c>
      <c r="U388" s="23">
        <v>4.4000000000000004</v>
      </c>
      <c r="V388" s="75" t="str" cm="1">
        <f t="array" ref="V388">_xlfn.IFS(U388=0,"Not Rated",U388&gt;=4.5,"High Rating",U388&gt;=3,"Medium Rating",U388&lt;3,"Low Rating")</f>
        <v>Medium Rating</v>
      </c>
    </row>
    <row r="389" spans="1:22" x14ac:dyDescent="0.3">
      <c r="A389" s="24" t="s">
        <v>334</v>
      </c>
      <c r="B389" s="25">
        <v>46203</v>
      </c>
      <c r="C389" s="26" t="s">
        <v>146</v>
      </c>
      <c r="D389" s="26" t="s">
        <v>147</v>
      </c>
      <c r="E389" s="26" t="s">
        <v>148</v>
      </c>
      <c r="F389" s="26" t="s">
        <v>22</v>
      </c>
      <c r="G389" s="26" t="s">
        <v>149</v>
      </c>
      <c r="H389" s="26" t="s">
        <v>48</v>
      </c>
      <c r="I389" s="26" t="s">
        <v>109</v>
      </c>
      <c r="J389" s="27">
        <v>1</v>
      </c>
      <c r="K389" s="28">
        <v>659.42</v>
      </c>
      <c r="L389" s="27">
        <v>15</v>
      </c>
      <c r="M389" s="22">
        <f t="shared" si="6"/>
        <v>98.912999999999997</v>
      </c>
      <c r="N389" s="28">
        <v>560.51</v>
      </c>
      <c r="O389" s="28">
        <v>510</v>
      </c>
      <c r="P389" s="28">
        <v>50.51</v>
      </c>
      <c r="Q389" s="72" t="str">
        <f>IF(retail_store_performance_dashbo!$P389&gt;0,"Profit",IF(retail_store_performance_dashbo!$P389&lt;0,"Loss","Break Even"))</f>
        <v>Profit</v>
      </c>
      <c r="R389" s="62" t="str" cm="1">
        <f t="array" ref="R389">_xlfn.IFS(L389=0,"No Discount",L389&lt;=5,"Low Discount",L389&lt;=10,"Medium Discount",L389&lt;=20,"High Discount")</f>
        <v>High Discount</v>
      </c>
      <c r="S389" s="26" t="s">
        <v>70</v>
      </c>
      <c r="T389" s="26" t="s">
        <v>36</v>
      </c>
      <c r="U389" s="29">
        <v>3.7</v>
      </c>
      <c r="V389" s="75" t="str" cm="1">
        <f t="array" ref="V389">_xlfn.IFS(U389=0,"Not Rated",U389&gt;=4.5,"High Rating",U389&gt;=3,"Medium Rating",U389&lt;3,"Low Rating")</f>
        <v>Medium Rating</v>
      </c>
    </row>
    <row r="390" spans="1:22" x14ac:dyDescent="0.3">
      <c r="A390" s="18" t="s">
        <v>389</v>
      </c>
      <c r="B390" s="19">
        <v>46203</v>
      </c>
      <c r="C390" s="20" t="s">
        <v>29</v>
      </c>
      <c r="D390" s="20" t="s">
        <v>30</v>
      </c>
      <c r="E390" s="20" t="s">
        <v>31</v>
      </c>
      <c r="F390" s="20" t="s">
        <v>32</v>
      </c>
      <c r="G390" s="20" t="s">
        <v>33</v>
      </c>
      <c r="H390" s="20" t="s">
        <v>58</v>
      </c>
      <c r="I390" s="20" t="s">
        <v>72</v>
      </c>
      <c r="J390" s="21">
        <v>1</v>
      </c>
      <c r="K390" s="22">
        <v>3678.63</v>
      </c>
      <c r="L390" s="21">
        <v>5</v>
      </c>
      <c r="M390" s="22">
        <f t="shared" si="6"/>
        <v>183.93150000000003</v>
      </c>
      <c r="N390" s="22">
        <v>-3494.7</v>
      </c>
      <c r="O390" s="22">
        <v>2700</v>
      </c>
      <c r="P390" s="22">
        <v>-6194.7</v>
      </c>
      <c r="Q390" s="62" t="str">
        <f>IF(retail_store_performance_dashbo!$P390&gt;0,"Profit",IF(retail_store_performance_dashbo!$P390&lt;0,"Loss","Break Even"))</f>
        <v>Loss</v>
      </c>
      <c r="R390" s="62" t="str" cm="1">
        <f t="array" ref="R390">_xlfn.IFS(L390=0,"No Discount",L390&lt;=5,"Low Discount",L390&lt;=10,"Medium Discount",L390&lt;=20,"High Discount")</f>
        <v>Low Discount</v>
      </c>
      <c r="S390" s="20" t="s">
        <v>43</v>
      </c>
      <c r="T390" s="20" t="s">
        <v>27</v>
      </c>
      <c r="U390" s="23">
        <v>3.7</v>
      </c>
      <c r="V390" s="75" t="str" cm="1">
        <f t="array" ref="V390">_xlfn.IFS(U390=0,"Not Rated",U390&gt;=4.5,"High Rating",U390&gt;=3,"Medium Rating",U390&lt;3,"Low Rating")</f>
        <v>Medium Rating</v>
      </c>
    </row>
    <row r="391" spans="1:22" x14ac:dyDescent="0.3">
      <c r="A391" s="24" t="s">
        <v>125</v>
      </c>
      <c r="B391" s="25">
        <v>46204</v>
      </c>
      <c r="C391" s="26" t="s">
        <v>19</v>
      </c>
      <c r="D391" s="26" t="s">
        <v>20</v>
      </c>
      <c r="E391" s="26" t="s">
        <v>21</v>
      </c>
      <c r="F391" s="26" t="s">
        <v>22</v>
      </c>
      <c r="G391" s="26" t="s">
        <v>23</v>
      </c>
      <c r="H391" s="26" t="s">
        <v>45</v>
      </c>
      <c r="I391" s="26" t="s">
        <v>124</v>
      </c>
      <c r="J391" s="27">
        <v>5</v>
      </c>
      <c r="K391" s="28">
        <v>4338.2</v>
      </c>
      <c r="L391" s="27">
        <v>10</v>
      </c>
      <c r="M391" s="22">
        <f t="shared" si="6"/>
        <v>2169.1</v>
      </c>
      <c r="N391" s="28">
        <v>19521.900000000001</v>
      </c>
      <c r="O391" s="28">
        <v>13000</v>
      </c>
      <c r="P391" s="28">
        <v>6521.9</v>
      </c>
      <c r="Q391" s="72" t="str">
        <f>IF(retail_store_performance_dashbo!$P391&gt;0,"Profit",IF(retail_store_performance_dashbo!$P391&lt;0,"Loss","Break Even"))</f>
        <v>Profit</v>
      </c>
      <c r="R391" s="62" t="str" cm="1">
        <f t="array" ref="R391">_xlfn.IFS(L391=0,"No Discount",L391&lt;=5,"Low Discount",L391&lt;=10,"Medium Discount",L391&lt;=20,"High Discount")</f>
        <v>Medium Discount</v>
      </c>
      <c r="S391" s="26" t="s">
        <v>43</v>
      </c>
      <c r="T391" s="26" t="s">
        <v>36</v>
      </c>
      <c r="U391" s="29">
        <v>3.7</v>
      </c>
      <c r="V391" s="75" t="str" cm="1">
        <f t="array" ref="V391">_xlfn.IFS(U391=0,"Not Rated",U391&gt;=4.5,"High Rating",U391&gt;=3,"Medium Rating",U391&lt;3,"Low Rating")</f>
        <v>Medium Rating</v>
      </c>
    </row>
    <row r="392" spans="1:22" x14ac:dyDescent="0.3">
      <c r="A392" s="18" t="s">
        <v>421</v>
      </c>
      <c r="B392" s="19">
        <v>46204</v>
      </c>
      <c r="C392" s="20" t="s">
        <v>61</v>
      </c>
      <c r="D392" s="20" t="s">
        <v>62</v>
      </c>
      <c r="E392" s="20" t="s">
        <v>63</v>
      </c>
      <c r="F392" s="20" t="s">
        <v>22</v>
      </c>
      <c r="G392" s="20" t="s">
        <v>64</v>
      </c>
      <c r="H392" s="20" t="s">
        <v>45</v>
      </c>
      <c r="I392" s="20" t="s">
        <v>101</v>
      </c>
      <c r="J392" s="21">
        <v>1</v>
      </c>
      <c r="K392" s="22">
        <v>1834.03</v>
      </c>
      <c r="L392" s="21">
        <v>10</v>
      </c>
      <c r="M392" s="22">
        <f t="shared" si="6"/>
        <v>183.40299999999999</v>
      </c>
      <c r="N392" s="22">
        <v>1650.63</v>
      </c>
      <c r="O392" s="22">
        <v>1050</v>
      </c>
      <c r="P392" s="22">
        <v>600.63</v>
      </c>
      <c r="Q392" s="62" t="str">
        <f>IF(retail_store_performance_dashbo!$P392&gt;0,"Profit",IF(retail_store_performance_dashbo!$P392&lt;0,"Loss","Break Even"))</f>
        <v>Profit</v>
      </c>
      <c r="R392" s="62" t="str" cm="1">
        <f t="array" ref="R392">_xlfn.IFS(L392=0,"No Discount",L392&lt;=5,"Low Discount",L392&lt;=10,"Medium Discount",L392&lt;=20,"High Discount")</f>
        <v>Medium Discount</v>
      </c>
      <c r="S392" s="20" t="s">
        <v>67</v>
      </c>
      <c r="T392" s="20" t="s">
        <v>36</v>
      </c>
      <c r="U392" s="23">
        <v>3.5</v>
      </c>
      <c r="V392" s="75" t="str" cm="1">
        <f t="array" ref="V392">_xlfn.IFS(U392=0,"Not Rated",U392&gt;=4.5,"High Rating",U392&gt;=3,"Medium Rating",U392&lt;3,"Low Rating")</f>
        <v>Medium Rating</v>
      </c>
    </row>
    <row r="393" spans="1:22" x14ac:dyDescent="0.3">
      <c r="A393" s="24" t="s">
        <v>559</v>
      </c>
      <c r="B393" s="25">
        <v>46204</v>
      </c>
      <c r="C393" s="26" t="s">
        <v>77</v>
      </c>
      <c r="D393" s="26" t="s">
        <v>78</v>
      </c>
      <c r="E393" s="26" t="s">
        <v>79</v>
      </c>
      <c r="F393" s="26" t="s">
        <v>80</v>
      </c>
      <c r="G393" s="26" t="s">
        <v>81</v>
      </c>
      <c r="H393" s="26" t="s">
        <v>45</v>
      </c>
      <c r="I393" s="26" t="s">
        <v>88</v>
      </c>
      <c r="J393" s="27">
        <v>3</v>
      </c>
      <c r="K393" s="28">
        <v>889.87</v>
      </c>
      <c r="L393" s="27">
        <v>10</v>
      </c>
      <c r="M393" s="22">
        <f t="shared" si="6"/>
        <v>266.96100000000001</v>
      </c>
      <c r="N393" s="28">
        <v>-2402.65</v>
      </c>
      <c r="O393" s="28">
        <v>1500</v>
      </c>
      <c r="P393" s="28">
        <v>-3902.65</v>
      </c>
      <c r="Q393" s="72" t="str">
        <f>IF(retail_store_performance_dashbo!$P393&gt;0,"Profit",IF(retail_store_performance_dashbo!$P393&lt;0,"Loss","Break Even"))</f>
        <v>Loss</v>
      </c>
      <c r="R393" s="62" t="str" cm="1">
        <f t="array" ref="R393">_xlfn.IFS(L393=0,"No Discount",L393&lt;=5,"Low Discount",L393&lt;=10,"Medium Discount",L393&lt;=20,"High Discount")</f>
        <v>Medium Discount</v>
      </c>
      <c r="S393" s="26" t="s">
        <v>70</v>
      </c>
      <c r="T393" s="26" t="s">
        <v>27</v>
      </c>
      <c r="U393" s="29">
        <v>3.4</v>
      </c>
      <c r="V393" s="75" t="str" cm="1">
        <f t="array" ref="V393">_xlfn.IFS(U393=0,"Not Rated",U393&gt;=4.5,"High Rating",U393&gt;=3,"Medium Rating",U393&lt;3,"Low Rating")</f>
        <v>Medium Rating</v>
      </c>
    </row>
    <row r="394" spans="1:22" x14ac:dyDescent="0.3">
      <c r="A394" s="18" t="s">
        <v>154</v>
      </c>
      <c r="B394" s="19">
        <v>46205</v>
      </c>
      <c r="C394" s="20" t="s">
        <v>97</v>
      </c>
      <c r="D394" s="20" t="s">
        <v>98</v>
      </c>
      <c r="E394" s="20" t="s">
        <v>99</v>
      </c>
      <c r="F394" s="20" t="s">
        <v>54</v>
      </c>
      <c r="G394" s="20" t="s">
        <v>100</v>
      </c>
      <c r="H394" s="20" t="s">
        <v>41</v>
      </c>
      <c r="I394" s="20" t="s">
        <v>42</v>
      </c>
      <c r="J394" s="21">
        <v>1</v>
      </c>
      <c r="K394" s="22">
        <v>4396.8900000000003</v>
      </c>
      <c r="L394" s="21">
        <v>15</v>
      </c>
      <c r="M394" s="22">
        <f t="shared" si="6"/>
        <v>659.5335</v>
      </c>
      <c r="N394" s="22">
        <v>3737.36</v>
      </c>
      <c r="O394" s="22">
        <v>2900</v>
      </c>
      <c r="P394" s="22">
        <v>837.36</v>
      </c>
      <c r="Q394" s="62" t="str">
        <f>IF(retail_store_performance_dashbo!$P394&gt;0,"Profit",IF(retail_store_performance_dashbo!$P394&lt;0,"Loss","Break Even"))</f>
        <v>Profit</v>
      </c>
      <c r="R394" s="62" t="str" cm="1">
        <f t="array" ref="R394">_xlfn.IFS(L394=0,"No Discount",L394&lt;=5,"Low Discount",L394&lt;=10,"Medium Discount",L394&lt;=20,"High Discount")</f>
        <v>High Discount</v>
      </c>
      <c r="S394" s="20" t="s">
        <v>26</v>
      </c>
      <c r="T394" s="20" t="s">
        <v>36</v>
      </c>
      <c r="U394" s="23">
        <v>4.0999999999999996</v>
      </c>
      <c r="V394" s="75" t="str" cm="1">
        <f t="array" ref="V394">_xlfn.IFS(U394=0,"Not Rated",U394&gt;=4.5,"High Rating",U394&gt;=3,"Medium Rating",U394&lt;3,"Low Rating")</f>
        <v>Medium Rating</v>
      </c>
    </row>
    <row r="395" spans="1:22" x14ac:dyDescent="0.3">
      <c r="A395" s="24" t="s">
        <v>246</v>
      </c>
      <c r="B395" s="25">
        <v>46206</v>
      </c>
      <c r="C395" s="26" t="s">
        <v>61</v>
      </c>
      <c r="D395" s="26" t="s">
        <v>62</v>
      </c>
      <c r="E395" s="26" t="s">
        <v>63</v>
      </c>
      <c r="F395" s="26" t="s">
        <v>22</v>
      </c>
      <c r="G395" s="26" t="s">
        <v>64</v>
      </c>
      <c r="H395" s="26" t="s">
        <v>58</v>
      </c>
      <c r="I395" s="26" t="s">
        <v>69</v>
      </c>
      <c r="J395" s="27">
        <v>6</v>
      </c>
      <c r="K395" s="28">
        <v>695.03</v>
      </c>
      <c r="L395" s="27">
        <v>10</v>
      </c>
      <c r="M395" s="22">
        <f t="shared" si="6"/>
        <v>417.01800000000003</v>
      </c>
      <c r="N395" s="28">
        <v>-3753.16</v>
      </c>
      <c r="O395" s="28">
        <v>2400</v>
      </c>
      <c r="P395" s="28">
        <v>-6153.16</v>
      </c>
      <c r="Q395" s="72" t="str">
        <f>IF(retail_store_performance_dashbo!$P395&gt;0,"Profit",IF(retail_store_performance_dashbo!$P395&lt;0,"Loss","Break Even"))</f>
        <v>Loss</v>
      </c>
      <c r="R395" s="62" t="str" cm="1">
        <f t="array" ref="R395">_xlfn.IFS(L395=0,"No Discount",L395&lt;=5,"Low Discount",L395&lt;=10,"Medium Discount",L395&lt;=20,"High Discount")</f>
        <v>Medium Discount</v>
      </c>
      <c r="S395" s="26" t="s">
        <v>70</v>
      </c>
      <c r="T395" s="26" t="s">
        <v>27</v>
      </c>
      <c r="U395" s="29">
        <v>3.4</v>
      </c>
      <c r="V395" s="75" t="str" cm="1">
        <f t="array" ref="V395">_xlfn.IFS(U395=0,"Not Rated",U395&gt;=4.5,"High Rating",U395&gt;=3,"Medium Rating",U395&lt;3,"Low Rating")</f>
        <v>Medium Rating</v>
      </c>
    </row>
    <row r="396" spans="1:22" x14ac:dyDescent="0.3">
      <c r="A396" s="18" t="s">
        <v>473</v>
      </c>
      <c r="B396" s="19">
        <v>46206</v>
      </c>
      <c r="C396" s="20" t="s">
        <v>97</v>
      </c>
      <c r="D396" s="20" t="s">
        <v>98</v>
      </c>
      <c r="E396" s="20" t="s">
        <v>99</v>
      </c>
      <c r="F396" s="20" t="s">
        <v>54</v>
      </c>
      <c r="G396" s="20" t="s">
        <v>100</v>
      </c>
      <c r="H396" s="20" t="s">
        <v>58</v>
      </c>
      <c r="I396" s="20" t="s">
        <v>82</v>
      </c>
      <c r="J396" s="21">
        <v>4</v>
      </c>
      <c r="K396" s="22">
        <v>2485.66</v>
      </c>
      <c r="L396" s="21">
        <v>5</v>
      </c>
      <c r="M396" s="22">
        <f t="shared" si="6"/>
        <v>497.13199999999995</v>
      </c>
      <c r="N396" s="22">
        <v>9445.51</v>
      </c>
      <c r="O396" s="22">
        <v>6200</v>
      </c>
      <c r="P396" s="22">
        <v>3245.51</v>
      </c>
      <c r="Q396" s="62" t="str">
        <f>IF(retail_store_performance_dashbo!$P396&gt;0,"Profit",IF(retail_store_performance_dashbo!$P396&lt;0,"Loss","Break Even"))</f>
        <v>Profit</v>
      </c>
      <c r="R396" s="62" t="str" cm="1">
        <f t="array" ref="R396">_xlfn.IFS(L396=0,"No Discount",L396&lt;=5,"Low Discount",L396&lt;=10,"Medium Discount",L396&lt;=20,"High Discount")</f>
        <v>Low Discount</v>
      </c>
      <c r="S396" s="20" t="s">
        <v>35</v>
      </c>
      <c r="T396" s="20" t="s">
        <v>36</v>
      </c>
      <c r="U396" s="23">
        <v>3.8</v>
      </c>
      <c r="V396" s="75" t="str" cm="1">
        <f t="array" ref="V396">_xlfn.IFS(U396=0,"Not Rated",U396&gt;=4.5,"High Rating",U396&gt;=3,"Medium Rating",U396&lt;3,"Low Rating")</f>
        <v>Medium Rating</v>
      </c>
    </row>
    <row r="397" spans="1:22" x14ac:dyDescent="0.3">
      <c r="A397" s="24" t="s">
        <v>110</v>
      </c>
      <c r="B397" s="25">
        <v>46207</v>
      </c>
      <c r="C397" s="26" t="s">
        <v>97</v>
      </c>
      <c r="D397" s="26" t="s">
        <v>98</v>
      </c>
      <c r="E397" s="26" t="s">
        <v>99</v>
      </c>
      <c r="F397" s="26" t="s">
        <v>54</v>
      </c>
      <c r="G397" s="26" t="s">
        <v>100</v>
      </c>
      <c r="H397" s="26" t="s">
        <v>41</v>
      </c>
      <c r="I397" s="26" t="s">
        <v>42</v>
      </c>
      <c r="J397" s="27">
        <v>5</v>
      </c>
      <c r="K397" s="28">
        <v>4416.1000000000004</v>
      </c>
      <c r="L397" s="27">
        <v>0</v>
      </c>
      <c r="M397" s="22">
        <f t="shared" si="6"/>
        <v>0</v>
      </c>
      <c r="N397" s="28">
        <v>22080.5</v>
      </c>
      <c r="O397" s="28">
        <v>14500</v>
      </c>
      <c r="P397" s="28">
        <v>7580.5</v>
      </c>
      <c r="Q397" s="72" t="str">
        <f>IF(retail_store_performance_dashbo!$P397&gt;0,"Profit",IF(retail_store_performance_dashbo!$P397&lt;0,"Loss","Break Even"))</f>
        <v>Profit</v>
      </c>
      <c r="R397" s="62" t="str" cm="1">
        <f t="array" ref="R397">_xlfn.IFS(L397=0,"No Discount",L397&lt;=5,"Low Discount",L397&lt;=10,"Medium Discount",L397&lt;=20,"High Discount")</f>
        <v>No Discount</v>
      </c>
      <c r="S397" s="26" t="s">
        <v>70</v>
      </c>
      <c r="T397" s="26" t="s">
        <v>36</v>
      </c>
      <c r="U397" s="29">
        <v>3.6</v>
      </c>
      <c r="V397" s="75" t="str" cm="1">
        <f t="array" ref="V397">_xlfn.IFS(U397=0,"Not Rated",U397&gt;=4.5,"High Rating",U397&gt;=3,"Medium Rating",U397&lt;3,"Low Rating")</f>
        <v>Medium Rating</v>
      </c>
    </row>
    <row r="398" spans="1:22" x14ac:dyDescent="0.3">
      <c r="A398" s="18" t="s">
        <v>169</v>
      </c>
      <c r="B398" s="19">
        <v>46207</v>
      </c>
      <c r="C398" s="20" t="s">
        <v>29</v>
      </c>
      <c r="D398" s="20" t="s">
        <v>30</v>
      </c>
      <c r="E398" s="20" t="s">
        <v>31</v>
      </c>
      <c r="F398" s="20" t="s">
        <v>32</v>
      </c>
      <c r="G398" s="20" t="s">
        <v>33</v>
      </c>
      <c r="H398" s="20" t="s">
        <v>58</v>
      </c>
      <c r="I398" s="20" t="s">
        <v>82</v>
      </c>
      <c r="J398" s="21">
        <v>3</v>
      </c>
      <c r="K398" s="22">
        <v>2449.21</v>
      </c>
      <c r="L398" s="21">
        <v>10</v>
      </c>
      <c r="M398" s="22">
        <f t="shared" si="6"/>
        <v>734.76300000000003</v>
      </c>
      <c r="N398" s="22">
        <v>6612.87</v>
      </c>
      <c r="O398" s="22">
        <v>4650</v>
      </c>
      <c r="P398" s="22">
        <v>1962.87</v>
      </c>
      <c r="Q398" s="62" t="str">
        <f>IF(retail_store_performance_dashbo!$P398&gt;0,"Profit",IF(retail_store_performance_dashbo!$P398&lt;0,"Loss","Break Even"))</f>
        <v>Profit</v>
      </c>
      <c r="R398" s="62" t="str" cm="1">
        <f t="array" ref="R398">_xlfn.IFS(L398=0,"No Discount",L398&lt;=5,"Low Discount",L398&lt;=10,"Medium Discount",L398&lt;=20,"High Discount")</f>
        <v>Medium Discount</v>
      </c>
      <c r="S398" s="20" t="s">
        <v>26</v>
      </c>
      <c r="T398" s="20" t="s">
        <v>36</v>
      </c>
      <c r="U398" s="23">
        <v>3.9</v>
      </c>
      <c r="V398" s="75" t="str" cm="1">
        <f t="array" ref="V398">_xlfn.IFS(U398=0,"Not Rated",U398&gt;=4.5,"High Rating",U398&gt;=3,"Medium Rating",U398&lt;3,"Low Rating")</f>
        <v>Medium Rating</v>
      </c>
    </row>
    <row r="399" spans="1:22" x14ac:dyDescent="0.3">
      <c r="A399" s="24" t="s">
        <v>158</v>
      </c>
      <c r="B399" s="25">
        <v>46208</v>
      </c>
      <c r="C399" s="26" t="s">
        <v>77</v>
      </c>
      <c r="D399" s="26" t="s">
        <v>78</v>
      </c>
      <c r="E399" s="26" t="s">
        <v>79</v>
      </c>
      <c r="F399" s="26" t="s">
        <v>80</v>
      </c>
      <c r="G399" s="26" t="s">
        <v>81</v>
      </c>
      <c r="H399" s="26" t="s">
        <v>58</v>
      </c>
      <c r="I399" s="26" t="s">
        <v>69</v>
      </c>
      <c r="J399" s="27">
        <v>5</v>
      </c>
      <c r="K399" s="28">
        <v>671.35</v>
      </c>
      <c r="L399" s="27">
        <v>10</v>
      </c>
      <c r="M399" s="22">
        <f t="shared" si="6"/>
        <v>335.67500000000001</v>
      </c>
      <c r="N399" s="28">
        <v>3021.08</v>
      </c>
      <c r="O399" s="28">
        <v>2000</v>
      </c>
      <c r="P399" s="28">
        <v>1021.08</v>
      </c>
      <c r="Q399" s="72" t="str">
        <f>IF(retail_store_performance_dashbo!$P399&gt;0,"Profit",IF(retail_store_performance_dashbo!$P399&lt;0,"Loss","Break Even"))</f>
        <v>Profit</v>
      </c>
      <c r="R399" s="62" t="str" cm="1">
        <f t="array" ref="R399">_xlfn.IFS(L399=0,"No Discount",L399&lt;=5,"Low Discount",L399&lt;=10,"Medium Discount",L399&lt;=20,"High Discount")</f>
        <v>Medium Discount</v>
      </c>
      <c r="S399" s="26" t="s">
        <v>70</v>
      </c>
      <c r="T399" s="26" t="s">
        <v>36</v>
      </c>
      <c r="U399" s="29">
        <v>4.3</v>
      </c>
      <c r="V399" s="75" t="str" cm="1">
        <f t="array" ref="V399">_xlfn.IFS(U399=0,"Not Rated",U399&gt;=4.5,"High Rating",U399&gt;=3,"Medium Rating",U399&lt;3,"Low Rating")</f>
        <v>Medium Rating</v>
      </c>
    </row>
    <row r="400" spans="1:22" x14ac:dyDescent="0.3">
      <c r="A400" s="18" t="s">
        <v>453</v>
      </c>
      <c r="B400" s="19">
        <v>46208</v>
      </c>
      <c r="C400" s="20" t="s">
        <v>29</v>
      </c>
      <c r="D400" s="20" t="s">
        <v>30</v>
      </c>
      <c r="E400" s="20" t="s">
        <v>31</v>
      </c>
      <c r="F400" s="20" t="s">
        <v>32</v>
      </c>
      <c r="G400" s="20" t="s">
        <v>33</v>
      </c>
      <c r="H400" s="20" t="s">
        <v>48</v>
      </c>
      <c r="I400" s="20" t="s">
        <v>56</v>
      </c>
      <c r="J400" s="21">
        <v>6</v>
      </c>
      <c r="K400" s="22">
        <v>103.16</v>
      </c>
      <c r="L400" s="21">
        <v>20</v>
      </c>
      <c r="M400" s="22">
        <f t="shared" si="6"/>
        <v>123.792</v>
      </c>
      <c r="N400" s="22">
        <v>495.17</v>
      </c>
      <c r="O400" s="22">
        <v>432</v>
      </c>
      <c r="P400" s="22">
        <v>63.17</v>
      </c>
      <c r="Q400" s="62" t="str">
        <f>IF(retail_store_performance_dashbo!$P400&gt;0,"Profit",IF(retail_store_performance_dashbo!$P400&lt;0,"Loss","Break Even"))</f>
        <v>Profit</v>
      </c>
      <c r="R400" s="62" t="str" cm="1">
        <f t="array" ref="R400">_xlfn.IFS(L400=0,"No Discount",L400&lt;=5,"Low Discount",L400&lt;=10,"Medium Discount",L400&lt;=20,"High Discount")</f>
        <v>High Discount</v>
      </c>
      <c r="S400" s="20" t="s">
        <v>67</v>
      </c>
      <c r="T400" s="20" t="s">
        <v>36</v>
      </c>
      <c r="U400" s="23">
        <v>3.7</v>
      </c>
      <c r="V400" s="75" t="str" cm="1">
        <f t="array" ref="V400">_xlfn.IFS(U400=0,"Not Rated",U400&gt;=4.5,"High Rating",U400&gt;=3,"Medium Rating",U400&lt;3,"Low Rating")</f>
        <v>Medium Rating</v>
      </c>
    </row>
    <row r="401" spans="1:22" x14ac:dyDescent="0.3">
      <c r="A401" s="24" t="s">
        <v>505</v>
      </c>
      <c r="B401" s="25">
        <v>46208</v>
      </c>
      <c r="C401" s="26" t="s">
        <v>61</v>
      </c>
      <c r="D401" s="26" t="s">
        <v>62</v>
      </c>
      <c r="E401" s="26" t="s">
        <v>63</v>
      </c>
      <c r="F401" s="26" t="s">
        <v>22</v>
      </c>
      <c r="G401" s="26" t="s">
        <v>64</v>
      </c>
      <c r="H401" s="26" t="s">
        <v>41</v>
      </c>
      <c r="I401" s="26" t="s">
        <v>92</v>
      </c>
      <c r="J401" s="27">
        <v>3</v>
      </c>
      <c r="K401" s="28">
        <v>54942.22</v>
      </c>
      <c r="L401" s="27">
        <v>10</v>
      </c>
      <c r="M401" s="22">
        <f t="shared" si="6"/>
        <v>16482.666000000001</v>
      </c>
      <c r="N401" s="28">
        <v>148343.99</v>
      </c>
      <c r="O401" s="28">
        <v>126000</v>
      </c>
      <c r="P401" s="28">
        <v>22343.99</v>
      </c>
      <c r="Q401" s="72" t="str">
        <f>IF(retail_store_performance_dashbo!$P401&gt;0,"Profit",IF(retail_store_performance_dashbo!$P401&lt;0,"Loss","Break Even"))</f>
        <v>Profit</v>
      </c>
      <c r="R401" s="62" t="str" cm="1">
        <f t="array" ref="R401">_xlfn.IFS(L401=0,"No Discount",L401&lt;=5,"Low Discount",L401&lt;=10,"Medium Discount",L401&lt;=20,"High Discount")</f>
        <v>Medium Discount</v>
      </c>
      <c r="S401" s="26" t="s">
        <v>67</v>
      </c>
      <c r="T401" s="26" t="s">
        <v>36</v>
      </c>
      <c r="U401" s="29">
        <v>3</v>
      </c>
      <c r="V401" s="75" t="str" cm="1">
        <f t="array" ref="V401">_xlfn.IFS(U401=0,"Not Rated",U401&gt;=4.5,"High Rating",U401&gt;=3,"Medium Rating",U401&lt;3,"Low Rating")</f>
        <v>Medium Rating</v>
      </c>
    </row>
    <row r="402" spans="1:22" x14ac:dyDescent="0.3">
      <c r="A402" s="18" t="s">
        <v>282</v>
      </c>
      <c r="B402" s="19">
        <v>46209</v>
      </c>
      <c r="C402" s="20" t="s">
        <v>146</v>
      </c>
      <c r="D402" s="20" t="s">
        <v>147</v>
      </c>
      <c r="E402" s="20" t="s">
        <v>148</v>
      </c>
      <c r="F402" s="20" t="s">
        <v>22</v>
      </c>
      <c r="G402" s="20" t="s">
        <v>149</v>
      </c>
      <c r="H402" s="20" t="s">
        <v>58</v>
      </c>
      <c r="I402" s="20" t="s">
        <v>69</v>
      </c>
      <c r="J402" s="21">
        <v>5</v>
      </c>
      <c r="K402" s="22">
        <v>730.87</v>
      </c>
      <c r="L402" s="21">
        <v>5</v>
      </c>
      <c r="M402" s="22">
        <f t="shared" si="6"/>
        <v>182.7175</v>
      </c>
      <c r="N402" s="22">
        <v>-3471.63</v>
      </c>
      <c r="O402" s="22">
        <v>2000</v>
      </c>
      <c r="P402" s="22">
        <v>-5471.63</v>
      </c>
      <c r="Q402" s="62" t="str">
        <f>IF(retail_store_performance_dashbo!$P402&gt;0,"Profit",IF(retail_store_performance_dashbo!$P402&lt;0,"Loss","Break Even"))</f>
        <v>Loss</v>
      </c>
      <c r="R402" s="62" t="str" cm="1">
        <f t="array" ref="R402">_xlfn.IFS(L402=0,"No Discount",L402&lt;=5,"Low Discount",L402&lt;=10,"Medium Discount",L402&lt;=20,"High Discount")</f>
        <v>Low Discount</v>
      </c>
      <c r="S402" s="20" t="s">
        <v>67</v>
      </c>
      <c r="T402" s="20" t="s">
        <v>27</v>
      </c>
      <c r="U402" s="23">
        <v>3.8</v>
      </c>
      <c r="V402" s="75" t="str" cm="1">
        <f t="array" ref="V402">_xlfn.IFS(U402=0,"Not Rated",U402&gt;=4.5,"High Rating",U402&gt;=3,"Medium Rating",U402&lt;3,"Low Rating")</f>
        <v>Medium Rating</v>
      </c>
    </row>
    <row r="403" spans="1:22" x14ac:dyDescent="0.3">
      <c r="A403" s="24" t="s">
        <v>551</v>
      </c>
      <c r="B403" s="25">
        <v>46209</v>
      </c>
      <c r="C403" s="26" t="s">
        <v>38</v>
      </c>
      <c r="D403" s="26" t="s">
        <v>39</v>
      </c>
      <c r="E403" s="26" t="s">
        <v>39</v>
      </c>
      <c r="F403" s="26" t="s">
        <v>32</v>
      </c>
      <c r="G403" s="26" t="s">
        <v>40</v>
      </c>
      <c r="H403" s="26" t="s">
        <v>45</v>
      </c>
      <c r="I403" s="26" t="s">
        <v>88</v>
      </c>
      <c r="J403" s="27">
        <v>6</v>
      </c>
      <c r="K403" s="28">
        <v>899.63</v>
      </c>
      <c r="L403" s="27">
        <v>10</v>
      </c>
      <c r="M403" s="22">
        <f t="shared" si="6"/>
        <v>539.77799999999991</v>
      </c>
      <c r="N403" s="28">
        <v>4858</v>
      </c>
      <c r="O403" s="28">
        <v>3000</v>
      </c>
      <c r="P403" s="28">
        <v>1858</v>
      </c>
      <c r="Q403" s="72" t="str">
        <f>IF(retail_store_performance_dashbo!$P403&gt;0,"Profit",IF(retail_store_performance_dashbo!$P403&lt;0,"Loss","Break Even"))</f>
        <v>Profit</v>
      </c>
      <c r="R403" s="62" t="str" cm="1">
        <f t="array" ref="R403">_xlfn.IFS(L403=0,"No Discount",L403&lt;=5,"Low Discount",L403&lt;=10,"Medium Discount",L403&lt;=20,"High Discount")</f>
        <v>Medium Discount</v>
      </c>
      <c r="S403" s="26" t="s">
        <v>35</v>
      </c>
      <c r="T403" s="26" t="s">
        <v>36</v>
      </c>
      <c r="U403" s="29">
        <v>4.5999999999999996</v>
      </c>
      <c r="V403" s="75" t="str" cm="1">
        <f t="array" ref="V403">_xlfn.IFS(U403=0,"Not Rated",U403&gt;=4.5,"High Rating",U403&gt;=3,"Medium Rating",U403&lt;3,"Low Rating")</f>
        <v>High Rating</v>
      </c>
    </row>
    <row r="404" spans="1:22" x14ac:dyDescent="0.3">
      <c r="A404" s="18" t="s">
        <v>566</v>
      </c>
      <c r="B404" s="19">
        <v>46209</v>
      </c>
      <c r="C404" s="20" t="s">
        <v>51</v>
      </c>
      <c r="D404" s="20" t="s">
        <v>52</v>
      </c>
      <c r="E404" s="20" t="s">
        <v>53</v>
      </c>
      <c r="F404" s="20" t="s">
        <v>54</v>
      </c>
      <c r="G404" s="20" t="s">
        <v>55</v>
      </c>
      <c r="H404" s="20" t="s">
        <v>41</v>
      </c>
      <c r="I404" s="20" t="s">
        <v>92</v>
      </c>
      <c r="J404" s="21">
        <v>6</v>
      </c>
      <c r="K404" s="22">
        <v>53097.279999999999</v>
      </c>
      <c r="L404" s="21">
        <v>20</v>
      </c>
      <c r="M404" s="22">
        <f t="shared" si="6"/>
        <v>63716.735999999997</v>
      </c>
      <c r="N404" s="22">
        <v>254866.94</v>
      </c>
      <c r="O404" s="22">
        <v>252000</v>
      </c>
      <c r="P404" s="22">
        <v>2866.94</v>
      </c>
      <c r="Q404" s="62" t="str">
        <f>IF(retail_store_performance_dashbo!$P404&gt;0,"Profit",IF(retail_store_performance_dashbo!$P404&lt;0,"Loss","Break Even"))</f>
        <v>Profit</v>
      </c>
      <c r="R404" s="62" t="str" cm="1">
        <f t="array" ref="R404">_xlfn.IFS(L404=0,"No Discount",L404&lt;=5,"Low Discount",L404&lt;=10,"Medium Discount",L404&lt;=20,"High Discount")</f>
        <v>High Discount</v>
      </c>
      <c r="S404" s="20" t="s">
        <v>70</v>
      </c>
      <c r="T404" s="20" t="s">
        <v>36</v>
      </c>
      <c r="U404" s="23">
        <v>3.2</v>
      </c>
      <c r="V404" s="75" t="str" cm="1">
        <f t="array" ref="V404">_xlfn.IFS(U404=0,"Not Rated",U404&gt;=4.5,"High Rating",U404&gt;=3,"Medium Rating",U404&lt;3,"Low Rating")</f>
        <v>Medium Rating</v>
      </c>
    </row>
    <row r="405" spans="1:22" x14ac:dyDescent="0.3">
      <c r="A405" s="24" t="s">
        <v>475</v>
      </c>
      <c r="B405" s="25">
        <v>46210</v>
      </c>
      <c r="C405" s="26" t="s">
        <v>19</v>
      </c>
      <c r="D405" s="26" t="s">
        <v>20</v>
      </c>
      <c r="E405" s="26" t="s">
        <v>21</v>
      </c>
      <c r="F405" s="26" t="s">
        <v>22</v>
      </c>
      <c r="G405" s="26" t="s">
        <v>23</v>
      </c>
      <c r="H405" s="26" t="s">
        <v>24</v>
      </c>
      <c r="I405" s="26" t="s">
        <v>34</v>
      </c>
      <c r="J405" s="27">
        <v>4</v>
      </c>
      <c r="K405" s="28">
        <v>1771</v>
      </c>
      <c r="L405" s="27">
        <v>10</v>
      </c>
      <c r="M405" s="22">
        <f t="shared" si="6"/>
        <v>708.4</v>
      </c>
      <c r="N405" s="28">
        <v>6375.6</v>
      </c>
      <c r="O405" s="28">
        <v>4200</v>
      </c>
      <c r="P405" s="28">
        <v>2175.6</v>
      </c>
      <c r="Q405" s="72" t="str">
        <f>IF(retail_store_performance_dashbo!$P405&gt;0,"Profit",IF(retail_store_performance_dashbo!$P405&lt;0,"Loss","Break Even"))</f>
        <v>Profit</v>
      </c>
      <c r="R405" s="62" t="str" cm="1">
        <f t="array" ref="R405">_xlfn.IFS(L405=0,"No Discount",L405&lt;=5,"Low Discount",L405&lt;=10,"Medium Discount",L405&lt;=20,"High Discount")</f>
        <v>Medium Discount</v>
      </c>
      <c r="S405" s="26" t="s">
        <v>67</v>
      </c>
      <c r="T405" s="26" t="s">
        <v>36</v>
      </c>
      <c r="U405" s="29">
        <v>3.8</v>
      </c>
      <c r="V405" s="75" t="str" cm="1">
        <f t="array" ref="V405">_xlfn.IFS(U405=0,"Not Rated",U405&gt;=4.5,"High Rating",U405&gt;=3,"Medium Rating",U405&lt;3,"Low Rating")</f>
        <v>Medium Rating</v>
      </c>
    </row>
    <row r="406" spans="1:22" x14ac:dyDescent="0.3">
      <c r="A406" s="18" t="s">
        <v>226</v>
      </c>
      <c r="B406" s="19">
        <v>46211</v>
      </c>
      <c r="C406" s="20" t="s">
        <v>19</v>
      </c>
      <c r="D406" s="20" t="s">
        <v>20</v>
      </c>
      <c r="E406" s="20" t="s">
        <v>21</v>
      </c>
      <c r="F406" s="20" t="s">
        <v>22</v>
      </c>
      <c r="G406" s="20" t="s">
        <v>23</v>
      </c>
      <c r="H406" s="20" t="s">
        <v>48</v>
      </c>
      <c r="I406" s="20" t="s">
        <v>109</v>
      </c>
      <c r="J406" s="21">
        <v>4</v>
      </c>
      <c r="K406" s="22">
        <v>618.15</v>
      </c>
      <c r="L406" s="21">
        <v>15</v>
      </c>
      <c r="M406" s="22">
        <f t="shared" si="6"/>
        <v>370.89</v>
      </c>
      <c r="N406" s="22">
        <v>2101.71</v>
      </c>
      <c r="O406" s="22">
        <v>2040</v>
      </c>
      <c r="P406" s="22">
        <v>61.71</v>
      </c>
      <c r="Q406" s="62" t="str">
        <f>IF(retail_store_performance_dashbo!$P406&gt;0,"Profit",IF(retail_store_performance_dashbo!$P406&lt;0,"Loss","Break Even"))</f>
        <v>Profit</v>
      </c>
      <c r="R406" s="62" t="str" cm="1">
        <f t="array" ref="R406">_xlfn.IFS(L406=0,"No Discount",L406&lt;=5,"Low Discount",L406&lt;=10,"Medium Discount",L406&lt;=20,"High Discount")</f>
        <v>High Discount</v>
      </c>
      <c r="S406" s="20" t="s">
        <v>70</v>
      </c>
      <c r="T406" s="20" t="s">
        <v>36</v>
      </c>
      <c r="U406" s="23">
        <v>4.2</v>
      </c>
      <c r="V406" s="75" t="str" cm="1">
        <f t="array" ref="V406">_xlfn.IFS(U406=0,"Not Rated",U406&gt;=4.5,"High Rating",U406&gt;=3,"Medium Rating",U406&lt;3,"Low Rating")</f>
        <v>Medium Rating</v>
      </c>
    </row>
    <row r="407" spans="1:22" x14ac:dyDescent="0.3">
      <c r="A407" s="24" t="s">
        <v>293</v>
      </c>
      <c r="B407" s="25">
        <v>46211</v>
      </c>
      <c r="C407" s="26" t="s">
        <v>38</v>
      </c>
      <c r="D407" s="26" t="s">
        <v>39</v>
      </c>
      <c r="E407" s="26" t="s">
        <v>39</v>
      </c>
      <c r="F407" s="26" t="s">
        <v>32</v>
      </c>
      <c r="G407" s="26" t="s">
        <v>40</v>
      </c>
      <c r="H407" s="26" t="s">
        <v>45</v>
      </c>
      <c r="I407" s="26" t="s">
        <v>124</v>
      </c>
      <c r="J407" s="27">
        <v>3</v>
      </c>
      <c r="K407" s="28">
        <v>4325.83</v>
      </c>
      <c r="L407" s="27">
        <v>0</v>
      </c>
      <c r="M407" s="22">
        <f t="shared" si="6"/>
        <v>0</v>
      </c>
      <c r="N407" s="28">
        <v>-12977.49</v>
      </c>
      <c r="O407" s="28">
        <v>7800</v>
      </c>
      <c r="P407" s="28">
        <v>-20777.490000000002</v>
      </c>
      <c r="Q407" s="72" t="str">
        <f>IF(retail_store_performance_dashbo!$P407&gt;0,"Profit",IF(retail_store_performance_dashbo!$P407&lt;0,"Loss","Break Even"))</f>
        <v>Loss</v>
      </c>
      <c r="R407" s="62" t="str" cm="1">
        <f t="array" ref="R407">_xlfn.IFS(L407=0,"No Discount",L407&lt;=5,"Low Discount",L407&lt;=10,"Medium Discount",L407&lt;=20,"High Discount")</f>
        <v>No Discount</v>
      </c>
      <c r="S407" s="26" t="s">
        <v>35</v>
      </c>
      <c r="T407" s="26" t="s">
        <v>27</v>
      </c>
      <c r="U407" s="29">
        <v>3.3</v>
      </c>
      <c r="V407" s="75" t="str" cm="1">
        <f t="array" ref="V407">_xlfn.IFS(U407=0,"Not Rated",U407&gt;=4.5,"High Rating",U407&gt;=3,"Medium Rating",U407&lt;3,"Low Rating")</f>
        <v>Medium Rating</v>
      </c>
    </row>
    <row r="408" spans="1:22" x14ac:dyDescent="0.3">
      <c r="A408" s="18" t="s">
        <v>449</v>
      </c>
      <c r="B408" s="19">
        <v>46211</v>
      </c>
      <c r="C408" s="20" t="s">
        <v>19</v>
      </c>
      <c r="D408" s="20" t="s">
        <v>20</v>
      </c>
      <c r="E408" s="20" t="s">
        <v>21</v>
      </c>
      <c r="F408" s="20" t="s">
        <v>22</v>
      </c>
      <c r="G408" s="20" t="s">
        <v>23</v>
      </c>
      <c r="H408" s="20" t="s">
        <v>24</v>
      </c>
      <c r="I408" s="20" t="s">
        <v>34</v>
      </c>
      <c r="J408" s="21">
        <v>5</v>
      </c>
      <c r="K408" s="22">
        <v>1761.02</v>
      </c>
      <c r="L408" s="21">
        <v>0</v>
      </c>
      <c r="M408" s="22">
        <f t="shared" si="6"/>
        <v>0</v>
      </c>
      <c r="N408" s="22">
        <v>8805.1</v>
      </c>
      <c r="O408" s="22">
        <v>5250</v>
      </c>
      <c r="P408" s="22">
        <v>3555.1</v>
      </c>
      <c r="Q408" s="62" t="str">
        <f>IF(retail_store_performance_dashbo!$P408&gt;0,"Profit",IF(retail_store_performance_dashbo!$P408&lt;0,"Loss","Break Even"))</f>
        <v>Profit</v>
      </c>
      <c r="R408" s="62" t="str" cm="1">
        <f t="array" ref="R408">_xlfn.IFS(L408=0,"No Discount",L408&lt;=5,"Low Discount",L408&lt;=10,"Medium Discount",L408&lt;=20,"High Discount")</f>
        <v>No Discount</v>
      </c>
      <c r="S408" s="20" t="s">
        <v>35</v>
      </c>
      <c r="T408" s="20" t="s">
        <v>36</v>
      </c>
      <c r="U408" s="23">
        <v>3.3</v>
      </c>
      <c r="V408" s="75" t="str" cm="1">
        <f t="array" ref="V408">_xlfn.IFS(U408=0,"Not Rated",U408&gt;=4.5,"High Rating",U408&gt;=3,"Medium Rating",U408&lt;3,"Low Rating")</f>
        <v>Medium Rating</v>
      </c>
    </row>
    <row r="409" spans="1:22" x14ac:dyDescent="0.3">
      <c r="A409" s="24" t="s">
        <v>488</v>
      </c>
      <c r="B409" s="25">
        <v>46211</v>
      </c>
      <c r="C409" s="26" t="s">
        <v>38</v>
      </c>
      <c r="D409" s="26" t="s">
        <v>39</v>
      </c>
      <c r="E409" s="26" t="s">
        <v>39</v>
      </c>
      <c r="F409" s="26" t="s">
        <v>32</v>
      </c>
      <c r="G409" s="26" t="s">
        <v>40</v>
      </c>
      <c r="H409" s="26" t="s">
        <v>48</v>
      </c>
      <c r="I409" s="26" t="s">
        <v>109</v>
      </c>
      <c r="J409" s="27">
        <v>3</v>
      </c>
      <c r="K409" s="28">
        <v>632.28</v>
      </c>
      <c r="L409" s="27">
        <v>0</v>
      </c>
      <c r="M409" s="22">
        <f t="shared" si="6"/>
        <v>0</v>
      </c>
      <c r="N409" s="28">
        <v>1896.84</v>
      </c>
      <c r="O409" s="28">
        <v>1530</v>
      </c>
      <c r="P409" s="28">
        <v>366.84</v>
      </c>
      <c r="Q409" s="72" t="str">
        <f>IF(retail_store_performance_dashbo!$P409&gt;0,"Profit",IF(retail_store_performance_dashbo!$P409&lt;0,"Loss","Break Even"))</f>
        <v>Profit</v>
      </c>
      <c r="R409" s="62" t="str" cm="1">
        <f t="array" ref="R409">_xlfn.IFS(L409=0,"No Discount",L409&lt;=5,"Low Discount",L409&lt;=10,"Medium Discount",L409&lt;=20,"High Discount")</f>
        <v>No Discount</v>
      </c>
      <c r="S409" s="26" t="s">
        <v>67</v>
      </c>
      <c r="T409" s="26" t="s">
        <v>36</v>
      </c>
      <c r="U409" s="29">
        <v>3.6</v>
      </c>
      <c r="V409" s="75" t="str" cm="1">
        <f t="array" ref="V409">_xlfn.IFS(U409=0,"Not Rated",U409&gt;=4.5,"High Rating",U409&gt;=3,"Medium Rating",U409&lt;3,"Low Rating")</f>
        <v>Medium Rating</v>
      </c>
    </row>
    <row r="410" spans="1:22" x14ac:dyDescent="0.3">
      <c r="A410" s="18" t="s">
        <v>433</v>
      </c>
      <c r="B410" s="19">
        <v>46212</v>
      </c>
      <c r="C410" s="20" t="s">
        <v>29</v>
      </c>
      <c r="D410" s="20" t="s">
        <v>30</v>
      </c>
      <c r="E410" s="20" t="s">
        <v>31</v>
      </c>
      <c r="F410" s="20" t="s">
        <v>32</v>
      </c>
      <c r="G410" s="20" t="s">
        <v>33</v>
      </c>
      <c r="H410" s="20" t="s">
        <v>41</v>
      </c>
      <c r="I410" s="20" t="s">
        <v>42</v>
      </c>
      <c r="J410" s="21">
        <v>5</v>
      </c>
      <c r="K410" s="22">
        <v>4656.58</v>
      </c>
      <c r="L410" s="21">
        <v>10</v>
      </c>
      <c r="M410" s="22">
        <f t="shared" si="6"/>
        <v>2328.29</v>
      </c>
      <c r="N410" s="22">
        <v>20954.61</v>
      </c>
      <c r="O410" s="22">
        <v>14500</v>
      </c>
      <c r="P410" s="22">
        <v>6454.61</v>
      </c>
      <c r="Q410" s="62" t="str">
        <f>IF(retail_store_performance_dashbo!$P410&gt;0,"Profit",IF(retail_store_performance_dashbo!$P410&lt;0,"Loss","Break Even"))</f>
        <v>Profit</v>
      </c>
      <c r="R410" s="62" t="str" cm="1">
        <f t="array" ref="R410">_xlfn.IFS(L410=0,"No Discount",L410&lt;=5,"Low Discount",L410&lt;=10,"Medium Discount",L410&lt;=20,"High Discount")</f>
        <v>Medium Discount</v>
      </c>
      <c r="S410" s="20" t="s">
        <v>70</v>
      </c>
      <c r="T410" s="20" t="s">
        <v>36</v>
      </c>
      <c r="U410" s="23">
        <v>4.2</v>
      </c>
      <c r="V410" s="75" t="str" cm="1">
        <f t="array" ref="V410">_xlfn.IFS(U410=0,"Not Rated",U410&gt;=4.5,"High Rating",U410&gt;=3,"Medium Rating",U410&lt;3,"Low Rating")</f>
        <v>Medium Rating</v>
      </c>
    </row>
    <row r="411" spans="1:22" x14ac:dyDescent="0.3">
      <c r="A411" s="24" t="s">
        <v>549</v>
      </c>
      <c r="B411" s="25">
        <v>46213</v>
      </c>
      <c r="C411" s="26" t="s">
        <v>29</v>
      </c>
      <c r="D411" s="26" t="s">
        <v>30</v>
      </c>
      <c r="E411" s="26" t="s">
        <v>31</v>
      </c>
      <c r="F411" s="26" t="s">
        <v>32</v>
      </c>
      <c r="G411" s="26" t="s">
        <v>33</v>
      </c>
      <c r="H411" s="26" t="s">
        <v>45</v>
      </c>
      <c r="I411" s="26" t="s">
        <v>46</v>
      </c>
      <c r="J411" s="27">
        <v>3</v>
      </c>
      <c r="K411" s="28">
        <v>3138.93</v>
      </c>
      <c r="L411" s="27">
        <v>5</v>
      </c>
      <c r="M411" s="22">
        <f t="shared" si="6"/>
        <v>470.83949999999999</v>
      </c>
      <c r="N411" s="28">
        <v>8945.9500000000007</v>
      </c>
      <c r="O411" s="28">
        <v>5700</v>
      </c>
      <c r="P411" s="28">
        <v>3245.95</v>
      </c>
      <c r="Q411" s="72" t="str">
        <f>IF(retail_store_performance_dashbo!$P411&gt;0,"Profit",IF(retail_store_performance_dashbo!$P411&lt;0,"Loss","Break Even"))</f>
        <v>Profit</v>
      </c>
      <c r="R411" s="62" t="str" cm="1">
        <f t="array" ref="R411">_xlfn.IFS(L411=0,"No Discount",L411&lt;=5,"Low Discount",L411&lt;=10,"Medium Discount",L411&lt;=20,"High Discount")</f>
        <v>Low Discount</v>
      </c>
      <c r="S411" s="26" t="s">
        <v>26</v>
      </c>
      <c r="T411" s="26" t="s">
        <v>36</v>
      </c>
      <c r="U411" s="29">
        <v>3.1</v>
      </c>
      <c r="V411" s="75" t="str" cm="1">
        <f t="array" ref="V411">_xlfn.IFS(U411=0,"Not Rated",U411&gt;=4.5,"High Rating",U411&gt;=3,"Medium Rating",U411&lt;3,"Low Rating")</f>
        <v>Medium Rating</v>
      </c>
    </row>
    <row r="412" spans="1:22" x14ac:dyDescent="0.3">
      <c r="A412" s="18" t="s">
        <v>132</v>
      </c>
      <c r="B412" s="19">
        <v>46214</v>
      </c>
      <c r="C412" s="20" t="s">
        <v>51</v>
      </c>
      <c r="D412" s="20" t="s">
        <v>52</v>
      </c>
      <c r="E412" s="20" t="s">
        <v>53</v>
      </c>
      <c r="F412" s="20" t="s">
        <v>54</v>
      </c>
      <c r="G412" s="20" t="s">
        <v>55</v>
      </c>
      <c r="H412" s="20" t="s">
        <v>24</v>
      </c>
      <c r="I412" s="20" t="s">
        <v>66</v>
      </c>
      <c r="J412" s="21">
        <v>6</v>
      </c>
      <c r="K412" s="22">
        <v>548.9</v>
      </c>
      <c r="L412" s="21">
        <v>15</v>
      </c>
      <c r="M412" s="22">
        <f t="shared" si="6"/>
        <v>494.00999999999993</v>
      </c>
      <c r="N412" s="22">
        <v>2799.39</v>
      </c>
      <c r="O412" s="22">
        <v>2040</v>
      </c>
      <c r="P412" s="22">
        <v>759.39</v>
      </c>
      <c r="Q412" s="62" t="str">
        <f>IF(retail_store_performance_dashbo!$P412&gt;0,"Profit",IF(retail_store_performance_dashbo!$P412&lt;0,"Loss","Break Even"))</f>
        <v>Profit</v>
      </c>
      <c r="R412" s="62" t="str" cm="1">
        <f t="array" ref="R412">_xlfn.IFS(L412=0,"No Discount",L412&lt;=5,"Low Discount",L412&lt;=10,"Medium Discount",L412&lt;=20,"High Discount")</f>
        <v>High Discount</v>
      </c>
      <c r="S412" s="20" t="s">
        <v>26</v>
      </c>
      <c r="T412" s="20" t="s">
        <v>36</v>
      </c>
      <c r="U412" s="23">
        <v>4.5</v>
      </c>
      <c r="V412" s="75" t="str" cm="1">
        <f t="array" ref="V412">_xlfn.IFS(U412=0,"Not Rated",U412&gt;=4.5,"High Rating",U412&gt;=3,"Medium Rating",U412&lt;3,"Low Rating")</f>
        <v>High Rating</v>
      </c>
    </row>
    <row r="413" spans="1:22" x14ac:dyDescent="0.3">
      <c r="A413" s="24" t="s">
        <v>192</v>
      </c>
      <c r="B413" s="25">
        <v>46214</v>
      </c>
      <c r="C413" s="26" t="s">
        <v>97</v>
      </c>
      <c r="D413" s="26" t="s">
        <v>98</v>
      </c>
      <c r="E413" s="26" t="s">
        <v>99</v>
      </c>
      <c r="F413" s="26" t="s">
        <v>54</v>
      </c>
      <c r="G413" s="26" t="s">
        <v>100</v>
      </c>
      <c r="H413" s="26" t="s">
        <v>24</v>
      </c>
      <c r="I413" s="26" t="s">
        <v>34</v>
      </c>
      <c r="J413" s="27">
        <v>5</v>
      </c>
      <c r="K413" s="28">
        <v>1850.21</v>
      </c>
      <c r="L413" s="27">
        <v>20</v>
      </c>
      <c r="M413" s="22">
        <f t="shared" si="6"/>
        <v>1850.21</v>
      </c>
      <c r="N413" s="28">
        <v>-7400.84</v>
      </c>
      <c r="O413" s="28">
        <v>5250</v>
      </c>
      <c r="P413" s="28">
        <v>-12650.84</v>
      </c>
      <c r="Q413" s="72" t="str">
        <f>IF(retail_store_performance_dashbo!$P413&gt;0,"Profit",IF(retail_store_performance_dashbo!$P413&lt;0,"Loss","Break Even"))</f>
        <v>Loss</v>
      </c>
      <c r="R413" s="62" t="str" cm="1">
        <f t="array" ref="R413">_xlfn.IFS(L413=0,"No Discount",L413&lt;=5,"Low Discount",L413&lt;=10,"Medium Discount",L413&lt;=20,"High Discount")</f>
        <v>High Discount</v>
      </c>
      <c r="S413" s="26" t="s">
        <v>70</v>
      </c>
      <c r="T413" s="26" t="s">
        <v>27</v>
      </c>
      <c r="U413" s="29">
        <v>3.3</v>
      </c>
      <c r="V413" s="75" t="str" cm="1">
        <f t="array" ref="V413">_xlfn.IFS(U413=0,"Not Rated",U413&gt;=4.5,"High Rating",U413&gt;=3,"Medium Rating",U413&lt;3,"Low Rating")</f>
        <v>Medium Rating</v>
      </c>
    </row>
    <row r="414" spans="1:22" x14ac:dyDescent="0.3">
      <c r="A414" s="18" t="s">
        <v>178</v>
      </c>
      <c r="B414" s="19">
        <v>46215</v>
      </c>
      <c r="C414" s="20" t="s">
        <v>38</v>
      </c>
      <c r="D414" s="20" t="s">
        <v>39</v>
      </c>
      <c r="E414" s="20" t="s">
        <v>39</v>
      </c>
      <c r="F414" s="20" t="s">
        <v>32</v>
      </c>
      <c r="G414" s="20" t="s">
        <v>40</v>
      </c>
      <c r="H414" s="20" t="s">
        <v>48</v>
      </c>
      <c r="I414" s="20" t="s">
        <v>49</v>
      </c>
      <c r="J414" s="21">
        <v>6</v>
      </c>
      <c r="K414" s="22">
        <v>270.29000000000002</v>
      </c>
      <c r="L414" s="21">
        <v>20</v>
      </c>
      <c r="M414" s="22">
        <f t="shared" si="6"/>
        <v>324.34800000000001</v>
      </c>
      <c r="N414" s="22">
        <v>1297.3900000000001</v>
      </c>
      <c r="O414" s="22">
        <v>1260</v>
      </c>
      <c r="P414" s="22">
        <v>37.39</v>
      </c>
      <c r="Q414" s="62" t="str">
        <f>IF(retail_store_performance_dashbo!$P414&gt;0,"Profit",IF(retail_store_performance_dashbo!$P414&lt;0,"Loss","Break Even"))</f>
        <v>Profit</v>
      </c>
      <c r="R414" s="62" t="str" cm="1">
        <f t="array" ref="R414">_xlfn.IFS(L414=0,"No Discount",L414&lt;=5,"Low Discount",L414&lt;=10,"Medium Discount",L414&lt;=20,"High Discount")</f>
        <v>High Discount</v>
      </c>
      <c r="S414" s="20" t="s">
        <v>43</v>
      </c>
      <c r="T414" s="20" t="s">
        <v>36</v>
      </c>
      <c r="U414" s="23">
        <v>4.4000000000000004</v>
      </c>
      <c r="V414" s="75" t="str" cm="1">
        <f t="array" ref="V414">_xlfn.IFS(U414=0,"Not Rated",U414&gt;=4.5,"High Rating",U414&gt;=3,"Medium Rating",U414&lt;3,"Low Rating")</f>
        <v>Medium Rating</v>
      </c>
    </row>
    <row r="415" spans="1:22" x14ac:dyDescent="0.3">
      <c r="A415" s="24" t="s">
        <v>413</v>
      </c>
      <c r="B415" s="25">
        <v>46215</v>
      </c>
      <c r="C415" s="26" t="s">
        <v>19</v>
      </c>
      <c r="D415" s="26" t="s">
        <v>20</v>
      </c>
      <c r="E415" s="26" t="s">
        <v>21</v>
      </c>
      <c r="F415" s="26" t="s">
        <v>22</v>
      </c>
      <c r="G415" s="26" t="s">
        <v>23</v>
      </c>
      <c r="H415" s="26" t="s">
        <v>41</v>
      </c>
      <c r="I415" s="26" t="s">
        <v>135</v>
      </c>
      <c r="J415" s="27">
        <v>5</v>
      </c>
      <c r="K415" s="28">
        <v>1788.91</v>
      </c>
      <c r="L415" s="27">
        <v>0</v>
      </c>
      <c r="M415" s="22">
        <f t="shared" si="6"/>
        <v>0</v>
      </c>
      <c r="N415" s="28">
        <v>8944.5499999999993</v>
      </c>
      <c r="O415" s="28">
        <v>5500</v>
      </c>
      <c r="P415" s="28">
        <v>3444.55</v>
      </c>
      <c r="Q415" s="72" t="str">
        <f>IF(retail_store_performance_dashbo!$P415&gt;0,"Profit",IF(retail_store_performance_dashbo!$P415&lt;0,"Loss","Break Even"))</f>
        <v>Profit</v>
      </c>
      <c r="R415" s="62" t="str" cm="1">
        <f t="array" ref="R415">_xlfn.IFS(L415=0,"No Discount",L415&lt;=5,"Low Discount",L415&lt;=10,"Medium Discount",L415&lt;=20,"High Discount")</f>
        <v>No Discount</v>
      </c>
      <c r="S415" s="26" t="s">
        <v>26</v>
      </c>
      <c r="T415" s="26" t="s">
        <v>36</v>
      </c>
      <c r="U415" s="29">
        <v>3.6</v>
      </c>
      <c r="V415" s="75" t="str" cm="1">
        <f t="array" ref="V415">_xlfn.IFS(U415=0,"Not Rated",U415&gt;=4.5,"High Rating",U415&gt;=3,"Medium Rating",U415&lt;3,"Low Rating")</f>
        <v>Medium Rating</v>
      </c>
    </row>
    <row r="416" spans="1:22" x14ac:dyDescent="0.3">
      <c r="A416" s="18" t="s">
        <v>530</v>
      </c>
      <c r="B416" s="19">
        <v>46215</v>
      </c>
      <c r="C416" s="20" t="s">
        <v>38</v>
      </c>
      <c r="D416" s="20" t="s">
        <v>39</v>
      </c>
      <c r="E416" s="20" t="s">
        <v>39</v>
      </c>
      <c r="F416" s="20" t="s">
        <v>32</v>
      </c>
      <c r="G416" s="20" t="s">
        <v>40</v>
      </c>
      <c r="H416" s="20" t="s">
        <v>58</v>
      </c>
      <c r="I416" s="20" t="s">
        <v>82</v>
      </c>
      <c r="J416" s="21">
        <v>3</v>
      </c>
      <c r="K416" s="22">
        <v>2418.34</v>
      </c>
      <c r="L416" s="21">
        <v>0</v>
      </c>
      <c r="M416" s="22">
        <f t="shared" si="6"/>
        <v>0</v>
      </c>
      <c r="N416" s="22">
        <v>-7255.02</v>
      </c>
      <c r="O416" s="22">
        <v>4650</v>
      </c>
      <c r="P416" s="22">
        <v>-11905.02</v>
      </c>
      <c r="Q416" s="62" t="str">
        <f>IF(retail_store_performance_dashbo!$P416&gt;0,"Profit",IF(retail_store_performance_dashbo!$P416&lt;0,"Loss","Break Even"))</f>
        <v>Loss</v>
      </c>
      <c r="R416" s="62" t="str" cm="1">
        <f t="array" ref="R416">_xlfn.IFS(L416=0,"No Discount",L416&lt;=5,"Low Discount",L416&lt;=10,"Medium Discount",L416&lt;=20,"High Discount")</f>
        <v>No Discount</v>
      </c>
      <c r="S416" s="20" t="s">
        <v>67</v>
      </c>
      <c r="T416" s="20" t="s">
        <v>27</v>
      </c>
      <c r="U416" s="23">
        <v>4.5999999999999996</v>
      </c>
      <c r="V416" s="75" t="str" cm="1">
        <f t="array" ref="V416">_xlfn.IFS(U416=0,"Not Rated",U416&gt;=4.5,"High Rating",U416&gt;=3,"Medium Rating",U416&lt;3,"Low Rating")</f>
        <v>High Rating</v>
      </c>
    </row>
    <row r="417" spans="1:22" x14ac:dyDescent="0.3">
      <c r="A417" s="24" t="s">
        <v>296</v>
      </c>
      <c r="B417" s="25">
        <v>46216</v>
      </c>
      <c r="C417" s="26" t="s">
        <v>61</v>
      </c>
      <c r="D417" s="26" t="s">
        <v>62</v>
      </c>
      <c r="E417" s="26" t="s">
        <v>63</v>
      </c>
      <c r="F417" s="26" t="s">
        <v>22</v>
      </c>
      <c r="G417" s="26" t="s">
        <v>64</v>
      </c>
      <c r="H417" s="26" t="s">
        <v>58</v>
      </c>
      <c r="I417" s="26" t="s">
        <v>59</v>
      </c>
      <c r="J417" s="27">
        <v>3</v>
      </c>
      <c r="K417" s="28">
        <v>5373.95</v>
      </c>
      <c r="L417" s="27">
        <v>0</v>
      </c>
      <c r="M417" s="22">
        <f t="shared" si="6"/>
        <v>0</v>
      </c>
      <c r="N417" s="28">
        <v>16121.85</v>
      </c>
      <c r="O417" s="28">
        <v>10800</v>
      </c>
      <c r="P417" s="28">
        <v>5321.85</v>
      </c>
      <c r="Q417" s="72" t="str">
        <f>IF(retail_store_performance_dashbo!$P417&gt;0,"Profit",IF(retail_store_performance_dashbo!$P417&lt;0,"Loss","Break Even"))</f>
        <v>Profit</v>
      </c>
      <c r="R417" s="62" t="str" cm="1">
        <f t="array" ref="R417">_xlfn.IFS(L417=0,"No Discount",L417&lt;=5,"Low Discount",L417&lt;=10,"Medium Discount",L417&lt;=20,"High Discount")</f>
        <v>No Discount</v>
      </c>
      <c r="S417" s="26" t="s">
        <v>43</v>
      </c>
      <c r="T417" s="26" t="s">
        <v>36</v>
      </c>
      <c r="U417" s="29">
        <v>3.3</v>
      </c>
      <c r="V417" s="75" t="str" cm="1">
        <f t="array" ref="V417">_xlfn.IFS(U417=0,"Not Rated",U417&gt;=4.5,"High Rating",U417&gt;=3,"Medium Rating",U417&lt;3,"Low Rating")</f>
        <v>Medium Rating</v>
      </c>
    </row>
    <row r="418" spans="1:22" x14ac:dyDescent="0.3">
      <c r="A418" s="18" t="s">
        <v>330</v>
      </c>
      <c r="B418" s="19">
        <v>46216</v>
      </c>
      <c r="C418" s="20" t="s">
        <v>61</v>
      </c>
      <c r="D418" s="20" t="s">
        <v>62</v>
      </c>
      <c r="E418" s="20" t="s">
        <v>63</v>
      </c>
      <c r="F418" s="20" t="s">
        <v>22</v>
      </c>
      <c r="G418" s="20" t="s">
        <v>64</v>
      </c>
      <c r="H418" s="20" t="s">
        <v>24</v>
      </c>
      <c r="I418" s="20" t="s">
        <v>34</v>
      </c>
      <c r="J418" s="21">
        <v>3</v>
      </c>
      <c r="K418" s="22">
        <v>1863.75</v>
      </c>
      <c r="L418" s="21">
        <v>0</v>
      </c>
      <c r="M418" s="22">
        <f t="shared" si="6"/>
        <v>0</v>
      </c>
      <c r="N418" s="22">
        <v>5591.25</v>
      </c>
      <c r="O418" s="22">
        <v>3150</v>
      </c>
      <c r="P418" s="22">
        <v>2441.25</v>
      </c>
      <c r="Q418" s="62" t="str">
        <f>IF(retail_store_performance_dashbo!$P418&gt;0,"Profit",IF(retail_store_performance_dashbo!$P418&lt;0,"Loss","Break Even"))</f>
        <v>Profit</v>
      </c>
      <c r="R418" s="62" t="str" cm="1">
        <f t="array" ref="R418">_xlfn.IFS(L418=0,"No Discount",L418&lt;=5,"Low Discount",L418&lt;=10,"Medium Discount",L418&lt;=20,"High Discount")</f>
        <v>No Discount</v>
      </c>
      <c r="S418" s="20" t="s">
        <v>70</v>
      </c>
      <c r="T418" s="20" t="s">
        <v>36</v>
      </c>
      <c r="U418" s="23">
        <v>3.7</v>
      </c>
      <c r="V418" s="75" t="str" cm="1">
        <f t="array" ref="V418">_xlfn.IFS(U418=0,"Not Rated",U418&gt;=4.5,"High Rating",U418&gt;=3,"Medium Rating",U418&lt;3,"Low Rating")</f>
        <v>Medium Rating</v>
      </c>
    </row>
    <row r="419" spans="1:22" x14ac:dyDescent="0.3">
      <c r="A419" s="24" t="s">
        <v>333</v>
      </c>
      <c r="B419" s="25">
        <v>46216</v>
      </c>
      <c r="C419" s="26" t="s">
        <v>19</v>
      </c>
      <c r="D419" s="26" t="s">
        <v>20</v>
      </c>
      <c r="E419" s="26" t="s">
        <v>21</v>
      </c>
      <c r="F419" s="26" t="s">
        <v>22</v>
      </c>
      <c r="G419" s="26" t="s">
        <v>23</v>
      </c>
      <c r="H419" s="26" t="s">
        <v>45</v>
      </c>
      <c r="I419" s="26" t="s">
        <v>101</v>
      </c>
      <c r="J419" s="27">
        <v>5</v>
      </c>
      <c r="K419" s="28">
        <v>1759.01</v>
      </c>
      <c r="L419" s="27">
        <v>15</v>
      </c>
      <c r="M419" s="22">
        <f t="shared" si="6"/>
        <v>1319.2574999999999</v>
      </c>
      <c r="N419" s="28">
        <v>7475.79</v>
      </c>
      <c r="O419" s="28">
        <v>5250</v>
      </c>
      <c r="P419" s="28">
        <v>2225.79</v>
      </c>
      <c r="Q419" s="72" t="str">
        <f>IF(retail_store_performance_dashbo!$P419&gt;0,"Profit",IF(retail_store_performance_dashbo!$P419&lt;0,"Loss","Break Even"))</f>
        <v>Profit</v>
      </c>
      <c r="R419" s="62" t="str" cm="1">
        <f t="array" ref="R419">_xlfn.IFS(L419=0,"No Discount",L419&lt;=5,"Low Discount",L419&lt;=10,"Medium Discount",L419&lt;=20,"High Discount")</f>
        <v>High Discount</v>
      </c>
      <c r="S419" s="26" t="s">
        <v>43</v>
      </c>
      <c r="T419" s="26" t="s">
        <v>36</v>
      </c>
      <c r="U419" s="29">
        <v>4</v>
      </c>
      <c r="V419" s="75" t="str" cm="1">
        <f t="array" ref="V419">_xlfn.IFS(U419=0,"Not Rated",U419&gt;=4.5,"High Rating",U419&gt;=3,"Medium Rating",U419&lt;3,"Low Rating")</f>
        <v>Medium Rating</v>
      </c>
    </row>
    <row r="420" spans="1:22" x14ac:dyDescent="0.3">
      <c r="A420" s="18" t="s">
        <v>285</v>
      </c>
      <c r="B420" s="19">
        <v>46218</v>
      </c>
      <c r="C420" s="20" t="s">
        <v>29</v>
      </c>
      <c r="D420" s="20" t="s">
        <v>30</v>
      </c>
      <c r="E420" s="20" t="s">
        <v>31</v>
      </c>
      <c r="F420" s="20" t="s">
        <v>32</v>
      </c>
      <c r="G420" s="20" t="s">
        <v>33</v>
      </c>
      <c r="H420" s="20" t="s">
        <v>24</v>
      </c>
      <c r="I420" s="20" t="s">
        <v>66</v>
      </c>
      <c r="J420" s="21">
        <v>3</v>
      </c>
      <c r="K420" s="22">
        <v>533.75</v>
      </c>
      <c r="L420" s="21">
        <v>5</v>
      </c>
      <c r="M420" s="22">
        <f t="shared" si="6"/>
        <v>80.0625</v>
      </c>
      <c r="N420" s="22">
        <v>1521.19</v>
      </c>
      <c r="O420" s="22">
        <v>1020</v>
      </c>
      <c r="P420" s="22">
        <v>501.19</v>
      </c>
      <c r="Q420" s="62" t="str">
        <f>IF(retail_store_performance_dashbo!$P420&gt;0,"Profit",IF(retail_store_performance_dashbo!$P420&lt;0,"Loss","Break Even"))</f>
        <v>Profit</v>
      </c>
      <c r="R420" s="62" t="str" cm="1">
        <f t="array" ref="R420">_xlfn.IFS(L420=0,"No Discount",L420&lt;=5,"Low Discount",L420&lt;=10,"Medium Discount",L420&lt;=20,"High Discount")</f>
        <v>Low Discount</v>
      </c>
      <c r="S420" s="20" t="s">
        <v>43</v>
      </c>
      <c r="T420" s="20" t="s">
        <v>36</v>
      </c>
      <c r="U420" s="23">
        <v>3.6</v>
      </c>
      <c r="V420" s="75" t="str" cm="1">
        <f t="array" ref="V420">_xlfn.IFS(U420=0,"Not Rated",U420&gt;=4.5,"High Rating",U420&gt;=3,"Medium Rating",U420&lt;3,"Low Rating")</f>
        <v>Medium Rating</v>
      </c>
    </row>
    <row r="421" spans="1:22" x14ac:dyDescent="0.3">
      <c r="A421" s="24" t="s">
        <v>288</v>
      </c>
      <c r="B421" s="25">
        <v>46218</v>
      </c>
      <c r="C421" s="26" t="s">
        <v>77</v>
      </c>
      <c r="D421" s="26" t="s">
        <v>78</v>
      </c>
      <c r="E421" s="26" t="s">
        <v>79</v>
      </c>
      <c r="F421" s="26" t="s">
        <v>80</v>
      </c>
      <c r="G421" s="26" t="s">
        <v>81</v>
      </c>
      <c r="H421" s="26" t="s">
        <v>45</v>
      </c>
      <c r="I421" s="26" t="s">
        <v>124</v>
      </c>
      <c r="J421" s="27">
        <v>2</v>
      </c>
      <c r="K421" s="28">
        <v>4254.55</v>
      </c>
      <c r="L421" s="27">
        <v>0</v>
      </c>
      <c r="M421" s="22">
        <f t="shared" si="6"/>
        <v>0</v>
      </c>
      <c r="N421" s="28">
        <v>8509.1</v>
      </c>
      <c r="O421" s="28">
        <v>5200</v>
      </c>
      <c r="P421" s="28">
        <v>3309.1</v>
      </c>
      <c r="Q421" s="72" t="str">
        <f>IF(retail_store_performance_dashbo!$P421&gt;0,"Profit",IF(retail_store_performance_dashbo!$P421&lt;0,"Loss","Break Even"))</f>
        <v>Profit</v>
      </c>
      <c r="R421" s="62" t="str" cm="1">
        <f t="array" ref="R421">_xlfn.IFS(L421=0,"No Discount",L421&lt;=5,"Low Discount",L421&lt;=10,"Medium Discount",L421&lt;=20,"High Discount")</f>
        <v>No Discount</v>
      </c>
      <c r="S421" s="26" t="s">
        <v>67</v>
      </c>
      <c r="T421" s="26" t="s">
        <v>36</v>
      </c>
      <c r="U421" s="29">
        <v>4.0999999999999996</v>
      </c>
      <c r="V421" s="75" t="str" cm="1">
        <f t="array" ref="V421">_xlfn.IFS(U421=0,"Not Rated",U421&gt;=4.5,"High Rating",U421&gt;=3,"Medium Rating",U421&lt;3,"Low Rating")</f>
        <v>Medium Rating</v>
      </c>
    </row>
    <row r="422" spans="1:22" x14ac:dyDescent="0.3">
      <c r="A422" s="18" t="s">
        <v>391</v>
      </c>
      <c r="B422" s="19">
        <v>46218</v>
      </c>
      <c r="C422" s="20" t="s">
        <v>146</v>
      </c>
      <c r="D422" s="20" t="s">
        <v>147</v>
      </c>
      <c r="E422" s="20" t="s">
        <v>148</v>
      </c>
      <c r="F422" s="20" t="s">
        <v>22</v>
      </c>
      <c r="G422" s="20" t="s">
        <v>149</v>
      </c>
      <c r="H422" s="20" t="s">
        <v>58</v>
      </c>
      <c r="I422" s="20" t="s">
        <v>59</v>
      </c>
      <c r="J422" s="21">
        <v>6</v>
      </c>
      <c r="K422" s="22">
        <v>5142.37</v>
      </c>
      <c r="L422" s="21">
        <v>5</v>
      </c>
      <c r="M422" s="22">
        <f t="shared" si="6"/>
        <v>1542.711</v>
      </c>
      <c r="N422" s="22">
        <v>29311.51</v>
      </c>
      <c r="O422" s="22">
        <v>21600</v>
      </c>
      <c r="P422" s="22">
        <v>7711.51</v>
      </c>
      <c r="Q422" s="62" t="str">
        <f>IF(retail_store_performance_dashbo!$P422&gt;0,"Profit",IF(retail_store_performance_dashbo!$P422&lt;0,"Loss","Break Even"))</f>
        <v>Profit</v>
      </c>
      <c r="R422" s="62" t="str" cm="1">
        <f t="array" ref="R422">_xlfn.IFS(L422=0,"No Discount",L422&lt;=5,"Low Discount",L422&lt;=10,"Medium Discount",L422&lt;=20,"High Discount")</f>
        <v>Low Discount</v>
      </c>
      <c r="S422" s="20" t="s">
        <v>70</v>
      </c>
      <c r="T422" s="20" t="s">
        <v>36</v>
      </c>
      <c r="U422" s="23">
        <v>4.5999999999999996</v>
      </c>
      <c r="V422" s="75" t="str" cm="1">
        <f t="array" ref="V422">_xlfn.IFS(U422=0,"Not Rated",U422&gt;=4.5,"High Rating",U422&gt;=3,"Medium Rating",U422&lt;3,"Low Rating")</f>
        <v>High Rating</v>
      </c>
    </row>
    <row r="423" spans="1:22" x14ac:dyDescent="0.3">
      <c r="A423" s="24" t="s">
        <v>182</v>
      </c>
      <c r="B423" s="25">
        <v>46219</v>
      </c>
      <c r="C423" s="26" t="s">
        <v>29</v>
      </c>
      <c r="D423" s="26" t="s">
        <v>30</v>
      </c>
      <c r="E423" s="26" t="s">
        <v>31</v>
      </c>
      <c r="F423" s="26" t="s">
        <v>32</v>
      </c>
      <c r="G423" s="26" t="s">
        <v>33</v>
      </c>
      <c r="H423" s="26" t="s">
        <v>24</v>
      </c>
      <c r="I423" s="26" t="s">
        <v>34</v>
      </c>
      <c r="J423" s="27">
        <v>1</v>
      </c>
      <c r="K423" s="28">
        <v>1773.62</v>
      </c>
      <c r="L423" s="27">
        <v>5</v>
      </c>
      <c r="M423" s="22">
        <f t="shared" si="6"/>
        <v>88.680999999999983</v>
      </c>
      <c r="N423" s="28">
        <v>0</v>
      </c>
      <c r="O423" s="28">
        <v>1050</v>
      </c>
      <c r="P423" s="28">
        <v>0</v>
      </c>
      <c r="Q423" s="72" t="str">
        <f>IF(retail_store_performance_dashbo!$P423&gt;0,"Profit",IF(retail_store_performance_dashbo!$P423&lt;0,"Loss","Break Even"))</f>
        <v>Break Even</v>
      </c>
      <c r="R423" s="62" t="str" cm="1">
        <f t="array" ref="R423">_xlfn.IFS(L423=0,"No Discount",L423&lt;=5,"Low Discount",L423&lt;=10,"Medium Discount",L423&lt;=20,"High Discount")</f>
        <v>Low Discount</v>
      </c>
      <c r="S423" s="26" t="s">
        <v>67</v>
      </c>
      <c r="T423" s="26" t="s">
        <v>83</v>
      </c>
      <c r="U423" s="29">
        <v>0</v>
      </c>
      <c r="V423" s="75" t="str" cm="1">
        <f t="array" ref="V423">_xlfn.IFS(U423=0,"Not Rated",U423&gt;=4.5,"High Rating",U423&gt;=3,"Medium Rating",U423&lt;3,"Low Rating")</f>
        <v>Not Rated</v>
      </c>
    </row>
    <row r="424" spans="1:22" x14ac:dyDescent="0.3">
      <c r="A424" s="18" t="s">
        <v>260</v>
      </c>
      <c r="B424" s="19">
        <v>46219</v>
      </c>
      <c r="C424" s="20" t="s">
        <v>97</v>
      </c>
      <c r="D424" s="20" t="s">
        <v>98</v>
      </c>
      <c r="E424" s="20" t="s">
        <v>99</v>
      </c>
      <c r="F424" s="20" t="s">
        <v>54</v>
      </c>
      <c r="G424" s="20" t="s">
        <v>100</v>
      </c>
      <c r="H424" s="20" t="s">
        <v>48</v>
      </c>
      <c r="I424" s="20" t="s">
        <v>109</v>
      </c>
      <c r="J424" s="21">
        <v>3</v>
      </c>
      <c r="K424" s="22">
        <v>643.35</v>
      </c>
      <c r="L424" s="21">
        <v>5</v>
      </c>
      <c r="M424" s="22">
        <f t="shared" si="6"/>
        <v>96.502499999999998</v>
      </c>
      <c r="N424" s="22">
        <v>1833.55</v>
      </c>
      <c r="O424" s="22">
        <v>1530</v>
      </c>
      <c r="P424" s="22">
        <v>303.55</v>
      </c>
      <c r="Q424" s="62" t="str">
        <f>IF(retail_store_performance_dashbo!$P424&gt;0,"Profit",IF(retail_store_performance_dashbo!$P424&lt;0,"Loss","Break Even"))</f>
        <v>Profit</v>
      </c>
      <c r="R424" s="62" t="str" cm="1">
        <f t="array" ref="R424">_xlfn.IFS(L424=0,"No Discount",L424&lt;=5,"Low Discount",L424&lt;=10,"Medium Discount",L424&lt;=20,"High Discount")</f>
        <v>Low Discount</v>
      </c>
      <c r="S424" s="20" t="s">
        <v>70</v>
      </c>
      <c r="T424" s="20" t="s">
        <v>36</v>
      </c>
      <c r="U424" s="23">
        <v>3.2</v>
      </c>
      <c r="V424" s="75" t="str" cm="1">
        <f t="array" ref="V424">_xlfn.IFS(U424=0,"Not Rated",U424&gt;=4.5,"High Rating",U424&gt;=3,"Medium Rating",U424&lt;3,"Low Rating")</f>
        <v>Medium Rating</v>
      </c>
    </row>
    <row r="425" spans="1:22" x14ac:dyDescent="0.3">
      <c r="A425" s="24" t="s">
        <v>484</v>
      </c>
      <c r="B425" s="25">
        <v>46219</v>
      </c>
      <c r="C425" s="26" t="s">
        <v>38</v>
      </c>
      <c r="D425" s="26" t="s">
        <v>39</v>
      </c>
      <c r="E425" s="26" t="s">
        <v>39</v>
      </c>
      <c r="F425" s="26" t="s">
        <v>32</v>
      </c>
      <c r="G425" s="26" t="s">
        <v>40</v>
      </c>
      <c r="H425" s="26" t="s">
        <v>48</v>
      </c>
      <c r="I425" s="26" t="s">
        <v>109</v>
      </c>
      <c r="J425" s="27">
        <v>6</v>
      </c>
      <c r="K425" s="28">
        <v>676.08</v>
      </c>
      <c r="L425" s="27">
        <v>5</v>
      </c>
      <c r="M425" s="22">
        <f t="shared" si="6"/>
        <v>202.82400000000001</v>
      </c>
      <c r="N425" s="28">
        <v>3853.66</v>
      </c>
      <c r="O425" s="28">
        <v>3060</v>
      </c>
      <c r="P425" s="28">
        <v>793.66</v>
      </c>
      <c r="Q425" s="72" t="str">
        <f>IF(retail_store_performance_dashbo!$P425&gt;0,"Profit",IF(retail_store_performance_dashbo!$P425&lt;0,"Loss","Break Even"))</f>
        <v>Profit</v>
      </c>
      <c r="R425" s="62" t="str" cm="1">
        <f t="array" ref="R425">_xlfn.IFS(L425=0,"No Discount",L425&lt;=5,"Low Discount",L425&lt;=10,"Medium Discount",L425&lt;=20,"High Discount")</f>
        <v>Low Discount</v>
      </c>
      <c r="S425" s="26" t="s">
        <v>70</v>
      </c>
      <c r="T425" s="26" t="s">
        <v>36</v>
      </c>
      <c r="U425" s="29">
        <v>4.0999999999999996</v>
      </c>
      <c r="V425" s="75" t="str" cm="1">
        <f t="array" ref="V425">_xlfn.IFS(U425=0,"Not Rated",U425&gt;=4.5,"High Rating",U425&gt;=3,"Medium Rating",U425&lt;3,"Low Rating")</f>
        <v>Medium Rating</v>
      </c>
    </row>
    <row r="426" spans="1:22" x14ac:dyDescent="0.3">
      <c r="A426" s="18" t="s">
        <v>143</v>
      </c>
      <c r="B426" s="19">
        <v>46220</v>
      </c>
      <c r="C426" s="20" t="s">
        <v>38</v>
      </c>
      <c r="D426" s="20" t="s">
        <v>39</v>
      </c>
      <c r="E426" s="20" t="s">
        <v>39</v>
      </c>
      <c r="F426" s="20" t="s">
        <v>32</v>
      </c>
      <c r="G426" s="20" t="s">
        <v>40</v>
      </c>
      <c r="H426" s="20" t="s">
        <v>48</v>
      </c>
      <c r="I426" s="20" t="s">
        <v>109</v>
      </c>
      <c r="J426" s="21">
        <v>3</v>
      </c>
      <c r="K426" s="22">
        <v>654.84</v>
      </c>
      <c r="L426" s="21">
        <v>15</v>
      </c>
      <c r="M426" s="22">
        <f t="shared" si="6"/>
        <v>294.678</v>
      </c>
      <c r="N426" s="22">
        <v>1669.84</v>
      </c>
      <c r="O426" s="22">
        <v>1530</v>
      </c>
      <c r="P426" s="22">
        <v>139.84</v>
      </c>
      <c r="Q426" s="62" t="str">
        <f>IF(retail_store_performance_dashbo!$P426&gt;0,"Profit",IF(retail_store_performance_dashbo!$P426&lt;0,"Loss","Break Even"))</f>
        <v>Profit</v>
      </c>
      <c r="R426" s="62" t="str" cm="1">
        <f t="array" ref="R426">_xlfn.IFS(L426=0,"No Discount",L426&lt;=5,"Low Discount",L426&lt;=10,"Medium Discount",L426&lt;=20,"High Discount")</f>
        <v>High Discount</v>
      </c>
      <c r="S426" s="20" t="s">
        <v>70</v>
      </c>
      <c r="T426" s="20" t="s">
        <v>36</v>
      </c>
      <c r="U426" s="23">
        <v>4.0999999999999996</v>
      </c>
      <c r="V426" s="75" t="str" cm="1">
        <f t="array" ref="V426">_xlfn.IFS(U426=0,"Not Rated",U426&gt;=4.5,"High Rating",U426&gt;=3,"Medium Rating",U426&lt;3,"Low Rating")</f>
        <v>Medium Rating</v>
      </c>
    </row>
    <row r="427" spans="1:22" x14ac:dyDescent="0.3">
      <c r="A427" s="24" t="s">
        <v>467</v>
      </c>
      <c r="B427" s="25">
        <v>46220</v>
      </c>
      <c r="C427" s="26" t="s">
        <v>77</v>
      </c>
      <c r="D427" s="26" t="s">
        <v>78</v>
      </c>
      <c r="E427" s="26" t="s">
        <v>79</v>
      </c>
      <c r="F427" s="26" t="s">
        <v>80</v>
      </c>
      <c r="G427" s="26" t="s">
        <v>81</v>
      </c>
      <c r="H427" s="26" t="s">
        <v>24</v>
      </c>
      <c r="I427" s="26" t="s">
        <v>34</v>
      </c>
      <c r="J427" s="27">
        <v>4</v>
      </c>
      <c r="K427" s="28">
        <v>1866.08</v>
      </c>
      <c r="L427" s="27">
        <v>0</v>
      </c>
      <c r="M427" s="22">
        <f t="shared" si="6"/>
        <v>0</v>
      </c>
      <c r="N427" s="28">
        <v>-7464.32</v>
      </c>
      <c r="O427" s="28">
        <v>4200</v>
      </c>
      <c r="P427" s="28">
        <v>-11664.32</v>
      </c>
      <c r="Q427" s="72" t="str">
        <f>IF(retail_store_performance_dashbo!$P427&gt;0,"Profit",IF(retail_store_performance_dashbo!$P427&lt;0,"Loss","Break Even"))</f>
        <v>Loss</v>
      </c>
      <c r="R427" s="62" t="str" cm="1">
        <f t="array" ref="R427">_xlfn.IFS(L427=0,"No Discount",L427&lt;=5,"Low Discount",L427&lt;=10,"Medium Discount",L427&lt;=20,"High Discount")</f>
        <v>No Discount</v>
      </c>
      <c r="S427" s="26" t="s">
        <v>43</v>
      </c>
      <c r="T427" s="26" t="s">
        <v>27</v>
      </c>
      <c r="U427" s="29">
        <v>3.3</v>
      </c>
      <c r="V427" s="75" t="str" cm="1">
        <f t="array" ref="V427">_xlfn.IFS(U427=0,"Not Rated",U427&gt;=4.5,"High Rating",U427&gt;=3,"Medium Rating",U427&lt;3,"Low Rating")</f>
        <v>Medium Rating</v>
      </c>
    </row>
    <row r="428" spans="1:22" x14ac:dyDescent="0.3">
      <c r="A428" s="18" t="s">
        <v>471</v>
      </c>
      <c r="B428" s="19">
        <v>46220</v>
      </c>
      <c r="C428" s="20" t="s">
        <v>19</v>
      </c>
      <c r="D428" s="20" t="s">
        <v>20</v>
      </c>
      <c r="E428" s="20" t="s">
        <v>21</v>
      </c>
      <c r="F428" s="20" t="s">
        <v>22</v>
      </c>
      <c r="G428" s="20" t="s">
        <v>23</v>
      </c>
      <c r="H428" s="20" t="s">
        <v>45</v>
      </c>
      <c r="I428" s="20" t="s">
        <v>46</v>
      </c>
      <c r="J428" s="21">
        <v>5</v>
      </c>
      <c r="K428" s="22">
        <v>3146.47</v>
      </c>
      <c r="L428" s="21">
        <v>5</v>
      </c>
      <c r="M428" s="22">
        <f t="shared" si="6"/>
        <v>786.61749999999995</v>
      </c>
      <c r="N428" s="22">
        <v>-14945.73</v>
      </c>
      <c r="O428" s="22">
        <v>9500</v>
      </c>
      <c r="P428" s="22">
        <v>-24445.73</v>
      </c>
      <c r="Q428" s="62" t="str">
        <f>IF(retail_store_performance_dashbo!$P428&gt;0,"Profit",IF(retail_store_performance_dashbo!$P428&lt;0,"Loss","Break Even"))</f>
        <v>Loss</v>
      </c>
      <c r="R428" s="62" t="str" cm="1">
        <f t="array" ref="R428">_xlfn.IFS(L428=0,"No Discount",L428&lt;=5,"Low Discount",L428&lt;=10,"Medium Discount",L428&lt;=20,"High Discount")</f>
        <v>Low Discount</v>
      </c>
      <c r="S428" s="20" t="s">
        <v>43</v>
      </c>
      <c r="T428" s="20" t="s">
        <v>27</v>
      </c>
      <c r="U428" s="23">
        <v>3.4</v>
      </c>
      <c r="V428" s="75" t="str" cm="1">
        <f t="array" ref="V428">_xlfn.IFS(U428=0,"Not Rated",U428&gt;=4.5,"High Rating",U428&gt;=3,"Medium Rating",U428&lt;3,"Low Rating")</f>
        <v>Medium Rating</v>
      </c>
    </row>
    <row r="429" spans="1:22" x14ac:dyDescent="0.3">
      <c r="A429" s="24" t="s">
        <v>120</v>
      </c>
      <c r="B429" s="25">
        <v>46221</v>
      </c>
      <c r="C429" s="26" t="s">
        <v>97</v>
      </c>
      <c r="D429" s="26" t="s">
        <v>98</v>
      </c>
      <c r="E429" s="26" t="s">
        <v>99</v>
      </c>
      <c r="F429" s="26" t="s">
        <v>54</v>
      </c>
      <c r="G429" s="26" t="s">
        <v>100</v>
      </c>
      <c r="H429" s="26" t="s">
        <v>45</v>
      </c>
      <c r="I429" s="26" t="s">
        <v>101</v>
      </c>
      <c r="J429" s="27">
        <v>5</v>
      </c>
      <c r="K429" s="28">
        <v>1715.12</v>
      </c>
      <c r="L429" s="27">
        <v>15</v>
      </c>
      <c r="M429" s="22">
        <f t="shared" si="6"/>
        <v>1286.3399999999997</v>
      </c>
      <c r="N429" s="28">
        <v>-7289.26</v>
      </c>
      <c r="O429" s="28">
        <v>5250</v>
      </c>
      <c r="P429" s="28">
        <v>-12539.26</v>
      </c>
      <c r="Q429" s="72" t="str">
        <f>IF(retail_store_performance_dashbo!$P429&gt;0,"Profit",IF(retail_store_performance_dashbo!$P429&lt;0,"Loss","Break Even"))</f>
        <v>Loss</v>
      </c>
      <c r="R429" s="62" t="str" cm="1">
        <f t="array" ref="R429">_xlfn.IFS(L429=0,"No Discount",L429&lt;=5,"Low Discount",L429&lt;=10,"Medium Discount",L429&lt;=20,"High Discount")</f>
        <v>High Discount</v>
      </c>
      <c r="S429" s="26" t="s">
        <v>35</v>
      </c>
      <c r="T429" s="26" t="s">
        <v>27</v>
      </c>
      <c r="U429" s="29">
        <v>4.5999999999999996</v>
      </c>
      <c r="V429" s="75" t="str" cm="1">
        <f t="array" ref="V429">_xlfn.IFS(U429=0,"Not Rated",U429&gt;=4.5,"High Rating",U429&gt;=3,"Medium Rating",U429&lt;3,"Low Rating")</f>
        <v>High Rating</v>
      </c>
    </row>
    <row r="430" spans="1:22" x14ac:dyDescent="0.3">
      <c r="A430" s="18" t="s">
        <v>161</v>
      </c>
      <c r="B430" s="19">
        <v>46221</v>
      </c>
      <c r="C430" s="20" t="s">
        <v>61</v>
      </c>
      <c r="D430" s="20" t="s">
        <v>62</v>
      </c>
      <c r="E430" s="20" t="s">
        <v>63</v>
      </c>
      <c r="F430" s="20" t="s">
        <v>22</v>
      </c>
      <c r="G430" s="20" t="s">
        <v>64</v>
      </c>
      <c r="H430" s="20" t="s">
        <v>45</v>
      </c>
      <c r="I430" s="20" t="s">
        <v>88</v>
      </c>
      <c r="J430" s="21">
        <v>5</v>
      </c>
      <c r="K430" s="22">
        <v>916.06</v>
      </c>
      <c r="L430" s="21">
        <v>10</v>
      </c>
      <c r="M430" s="22">
        <f t="shared" si="6"/>
        <v>458.02999999999992</v>
      </c>
      <c r="N430" s="22">
        <v>4122.2700000000004</v>
      </c>
      <c r="O430" s="22">
        <v>2500</v>
      </c>
      <c r="P430" s="22">
        <v>1622.27</v>
      </c>
      <c r="Q430" s="62" t="str">
        <f>IF(retail_store_performance_dashbo!$P430&gt;0,"Profit",IF(retail_store_performance_dashbo!$P430&lt;0,"Loss","Break Even"))</f>
        <v>Profit</v>
      </c>
      <c r="R430" s="62" t="str" cm="1">
        <f t="array" ref="R430">_xlfn.IFS(L430=0,"No Discount",L430&lt;=5,"Low Discount",L430&lt;=10,"Medium Discount",L430&lt;=20,"High Discount")</f>
        <v>Medium Discount</v>
      </c>
      <c r="S430" s="20" t="s">
        <v>26</v>
      </c>
      <c r="T430" s="20" t="s">
        <v>36</v>
      </c>
      <c r="U430" s="23">
        <v>4.3</v>
      </c>
      <c r="V430" s="75" t="str" cm="1">
        <f t="array" ref="V430">_xlfn.IFS(U430=0,"Not Rated",U430&gt;=4.5,"High Rating",U430&gt;=3,"Medium Rating",U430&lt;3,"Low Rating")</f>
        <v>Medium Rating</v>
      </c>
    </row>
    <row r="431" spans="1:22" x14ac:dyDescent="0.3">
      <c r="A431" s="24" t="s">
        <v>279</v>
      </c>
      <c r="B431" s="25">
        <v>46223</v>
      </c>
      <c r="C431" s="26" t="s">
        <v>19</v>
      </c>
      <c r="D431" s="26" t="s">
        <v>20</v>
      </c>
      <c r="E431" s="26" t="s">
        <v>21</v>
      </c>
      <c r="F431" s="26" t="s">
        <v>22</v>
      </c>
      <c r="G431" s="26" t="s">
        <v>23</v>
      </c>
      <c r="H431" s="26" t="s">
        <v>41</v>
      </c>
      <c r="I431" s="26" t="s">
        <v>92</v>
      </c>
      <c r="J431" s="27">
        <v>4</v>
      </c>
      <c r="K431" s="28">
        <v>52581.2</v>
      </c>
      <c r="L431" s="27">
        <v>0</v>
      </c>
      <c r="M431" s="22">
        <f t="shared" si="6"/>
        <v>0</v>
      </c>
      <c r="N431" s="28">
        <v>210324.8</v>
      </c>
      <c r="O431" s="28">
        <v>168000</v>
      </c>
      <c r="P431" s="28">
        <v>42324.800000000003</v>
      </c>
      <c r="Q431" s="72" t="str">
        <f>IF(retail_store_performance_dashbo!$P431&gt;0,"Profit",IF(retail_store_performance_dashbo!$P431&lt;0,"Loss","Break Even"))</f>
        <v>Profit</v>
      </c>
      <c r="R431" s="62" t="str" cm="1">
        <f t="array" ref="R431">_xlfn.IFS(L431=0,"No Discount",L431&lt;=5,"Low Discount",L431&lt;=10,"Medium Discount",L431&lt;=20,"High Discount")</f>
        <v>No Discount</v>
      </c>
      <c r="S431" s="26" t="s">
        <v>26</v>
      </c>
      <c r="T431" s="26" t="s">
        <v>36</v>
      </c>
      <c r="U431" s="29">
        <v>4</v>
      </c>
      <c r="V431" s="75" t="str" cm="1">
        <f t="array" ref="V431">_xlfn.IFS(U431=0,"Not Rated",U431&gt;=4.5,"High Rating",U431&gt;=3,"Medium Rating",U431&lt;3,"Low Rating")</f>
        <v>Medium Rating</v>
      </c>
    </row>
    <row r="432" spans="1:22" x14ac:dyDescent="0.3">
      <c r="A432" s="18" t="s">
        <v>437</v>
      </c>
      <c r="B432" s="19">
        <v>46223</v>
      </c>
      <c r="C432" s="20" t="s">
        <v>38</v>
      </c>
      <c r="D432" s="20" t="s">
        <v>39</v>
      </c>
      <c r="E432" s="20" t="s">
        <v>39</v>
      </c>
      <c r="F432" s="20" t="s">
        <v>32</v>
      </c>
      <c r="G432" s="20" t="s">
        <v>40</v>
      </c>
      <c r="H432" s="20" t="s">
        <v>58</v>
      </c>
      <c r="I432" s="20" t="s">
        <v>72</v>
      </c>
      <c r="J432" s="21">
        <v>5</v>
      </c>
      <c r="K432" s="22">
        <v>3710.9</v>
      </c>
      <c r="L432" s="21">
        <v>10</v>
      </c>
      <c r="M432" s="22">
        <f t="shared" si="6"/>
        <v>1855.45</v>
      </c>
      <c r="N432" s="22">
        <v>16699.05</v>
      </c>
      <c r="O432" s="22">
        <v>13500</v>
      </c>
      <c r="P432" s="22">
        <v>3199.05</v>
      </c>
      <c r="Q432" s="62" t="str">
        <f>IF(retail_store_performance_dashbo!$P432&gt;0,"Profit",IF(retail_store_performance_dashbo!$P432&lt;0,"Loss","Break Even"))</f>
        <v>Profit</v>
      </c>
      <c r="R432" s="62" t="str" cm="1">
        <f t="array" ref="R432">_xlfn.IFS(L432=0,"No Discount",L432&lt;=5,"Low Discount",L432&lt;=10,"Medium Discount",L432&lt;=20,"High Discount")</f>
        <v>Medium Discount</v>
      </c>
      <c r="S432" s="20" t="s">
        <v>70</v>
      </c>
      <c r="T432" s="20" t="s">
        <v>36</v>
      </c>
      <c r="U432" s="23">
        <v>4.3</v>
      </c>
      <c r="V432" s="75" t="str" cm="1">
        <f t="array" ref="V432">_xlfn.IFS(U432=0,"Not Rated",U432&gt;=4.5,"High Rating",U432&gt;=3,"Medium Rating",U432&lt;3,"Low Rating")</f>
        <v>Medium Rating</v>
      </c>
    </row>
    <row r="433" spans="1:22" x14ac:dyDescent="0.3">
      <c r="A433" s="24" t="s">
        <v>443</v>
      </c>
      <c r="B433" s="25">
        <v>46223</v>
      </c>
      <c r="C433" s="26" t="s">
        <v>29</v>
      </c>
      <c r="D433" s="26" t="s">
        <v>30</v>
      </c>
      <c r="E433" s="26" t="s">
        <v>31</v>
      </c>
      <c r="F433" s="26" t="s">
        <v>32</v>
      </c>
      <c r="G433" s="26" t="s">
        <v>33</v>
      </c>
      <c r="H433" s="26" t="s">
        <v>48</v>
      </c>
      <c r="I433" s="26" t="s">
        <v>49</v>
      </c>
      <c r="J433" s="27">
        <v>2</v>
      </c>
      <c r="K433" s="28">
        <v>267.64</v>
      </c>
      <c r="L433" s="27">
        <v>5</v>
      </c>
      <c r="M433" s="22">
        <f t="shared" si="6"/>
        <v>26.763999999999996</v>
      </c>
      <c r="N433" s="28">
        <v>508.52</v>
      </c>
      <c r="O433" s="28">
        <v>420</v>
      </c>
      <c r="P433" s="28">
        <v>88.52</v>
      </c>
      <c r="Q433" s="72" t="str">
        <f>IF(retail_store_performance_dashbo!$P433&gt;0,"Profit",IF(retail_store_performance_dashbo!$P433&lt;0,"Loss","Break Even"))</f>
        <v>Profit</v>
      </c>
      <c r="R433" s="62" t="str" cm="1">
        <f t="array" ref="R433">_xlfn.IFS(L433=0,"No Discount",L433&lt;=5,"Low Discount",L433&lt;=10,"Medium Discount",L433&lt;=20,"High Discount")</f>
        <v>Low Discount</v>
      </c>
      <c r="S433" s="26" t="s">
        <v>70</v>
      </c>
      <c r="T433" s="26" t="s">
        <v>36</v>
      </c>
      <c r="U433" s="29">
        <v>3.8</v>
      </c>
      <c r="V433" s="75" t="str" cm="1">
        <f t="array" ref="V433">_xlfn.IFS(U433=0,"Not Rated",U433&gt;=4.5,"High Rating",U433&gt;=3,"Medium Rating",U433&lt;3,"Low Rating")</f>
        <v>Medium Rating</v>
      </c>
    </row>
    <row r="434" spans="1:22" x14ac:dyDescent="0.3">
      <c r="A434" s="18" t="s">
        <v>238</v>
      </c>
      <c r="B434" s="19">
        <v>46224</v>
      </c>
      <c r="C434" s="20" t="s">
        <v>97</v>
      </c>
      <c r="D434" s="20" t="s">
        <v>98</v>
      </c>
      <c r="E434" s="20" t="s">
        <v>99</v>
      </c>
      <c r="F434" s="20" t="s">
        <v>54</v>
      </c>
      <c r="G434" s="20" t="s">
        <v>100</v>
      </c>
      <c r="H434" s="20" t="s">
        <v>45</v>
      </c>
      <c r="I434" s="20" t="s">
        <v>101</v>
      </c>
      <c r="J434" s="21">
        <v>2</v>
      </c>
      <c r="K434" s="22">
        <v>1744.95</v>
      </c>
      <c r="L434" s="21">
        <v>10</v>
      </c>
      <c r="M434" s="22">
        <f t="shared" si="6"/>
        <v>348.99</v>
      </c>
      <c r="N434" s="22">
        <v>3140.91</v>
      </c>
      <c r="O434" s="22">
        <v>2100</v>
      </c>
      <c r="P434" s="22">
        <v>1040.9100000000001</v>
      </c>
      <c r="Q434" s="62" t="str">
        <f>IF(retail_store_performance_dashbo!$P434&gt;0,"Profit",IF(retail_store_performance_dashbo!$P434&lt;0,"Loss","Break Even"))</f>
        <v>Profit</v>
      </c>
      <c r="R434" s="62" t="str" cm="1">
        <f t="array" ref="R434">_xlfn.IFS(L434=0,"No Discount",L434&lt;=5,"Low Discount",L434&lt;=10,"Medium Discount",L434&lt;=20,"High Discount")</f>
        <v>Medium Discount</v>
      </c>
      <c r="S434" s="20" t="s">
        <v>26</v>
      </c>
      <c r="T434" s="20" t="s">
        <v>36</v>
      </c>
      <c r="U434" s="23">
        <v>3.8</v>
      </c>
      <c r="V434" s="75" t="str" cm="1">
        <f t="array" ref="V434">_xlfn.IFS(U434=0,"Not Rated",U434&gt;=4.5,"High Rating",U434&gt;=3,"Medium Rating",U434&lt;3,"Low Rating")</f>
        <v>Medium Rating</v>
      </c>
    </row>
    <row r="435" spans="1:22" x14ac:dyDescent="0.3">
      <c r="A435" s="24" t="s">
        <v>554</v>
      </c>
      <c r="B435" s="25">
        <v>46224</v>
      </c>
      <c r="C435" s="26" t="s">
        <v>77</v>
      </c>
      <c r="D435" s="26" t="s">
        <v>78</v>
      </c>
      <c r="E435" s="26" t="s">
        <v>79</v>
      </c>
      <c r="F435" s="26" t="s">
        <v>80</v>
      </c>
      <c r="G435" s="26" t="s">
        <v>81</v>
      </c>
      <c r="H435" s="26" t="s">
        <v>24</v>
      </c>
      <c r="I435" s="26" t="s">
        <v>75</v>
      </c>
      <c r="J435" s="27">
        <v>5</v>
      </c>
      <c r="K435" s="28">
        <v>438.28</v>
      </c>
      <c r="L435" s="27">
        <v>10</v>
      </c>
      <c r="M435" s="22">
        <f t="shared" si="6"/>
        <v>219.13999999999996</v>
      </c>
      <c r="N435" s="28">
        <v>1972.26</v>
      </c>
      <c r="O435" s="28">
        <v>1450</v>
      </c>
      <c r="P435" s="28">
        <v>522.26</v>
      </c>
      <c r="Q435" s="72" t="str">
        <f>IF(retail_store_performance_dashbo!$P435&gt;0,"Profit",IF(retail_store_performance_dashbo!$P435&lt;0,"Loss","Break Even"))</f>
        <v>Profit</v>
      </c>
      <c r="R435" s="62" t="str" cm="1">
        <f t="array" ref="R435">_xlfn.IFS(L435=0,"No Discount",L435&lt;=5,"Low Discount",L435&lt;=10,"Medium Discount",L435&lt;=20,"High Discount")</f>
        <v>Medium Discount</v>
      </c>
      <c r="S435" s="26" t="s">
        <v>43</v>
      </c>
      <c r="T435" s="26" t="s">
        <v>36</v>
      </c>
      <c r="U435" s="29">
        <v>3.2</v>
      </c>
      <c r="V435" s="75" t="str" cm="1">
        <f t="array" ref="V435">_xlfn.IFS(U435=0,"Not Rated",U435&gt;=4.5,"High Rating",U435&gt;=3,"Medium Rating",U435&lt;3,"Low Rating")</f>
        <v>Medium Rating</v>
      </c>
    </row>
    <row r="436" spans="1:22" x14ac:dyDescent="0.3">
      <c r="A436" s="18" t="s">
        <v>234</v>
      </c>
      <c r="B436" s="19">
        <v>46226</v>
      </c>
      <c r="C436" s="20" t="s">
        <v>97</v>
      </c>
      <c r="D436" s="20" t="s">
        <v>98</v>
      </c>
      <c r="E436" s="20" t="s">
        <v>99</v>
      </c>
      <c r="F436" s="20" t="s">
        <v>54</v>
      </c>
      <c r="G436" s="20" t="s">
        <v>100</v>
      </c>
      <c r="H436" s="20" t="s">
        <v>58</v>
      </c>
      <c r="I436" s="20" t="s">
        <v>59</v>
      </c>
      <c r="J436" s="21">
        <v>2</v>
      </c>
      <c r="K436" s="22">
        <v>5080.26</v>
      </c>
      <c r="L436" s="21">
        <v>20</v>
      </c>
      <c r="M436" s="22">
        <f t="shared" si="6"/>
        <v>2032.1040000000003</v>
      </c>
      <c r="N436" s="22">
        <v>8128.42</v>
      </c>
      <c r="O436" s="22">
        <v>7200</v>
      </c>
      <c r="P436" s="22">
        <v>928.42</v>
      </c>
      <c r="Q436" s="62" t="str">
        <f>IF(retail_store_performance_dashbo!$P436&gt;0,"Profit",IF(retail_store_performance_dashbo!$P436&lt;0,"Loss","Break Even"))</f>
        <v>Profit</v>
      </c>
      <c r="R436" s="62" t="str" cm="1">
        <f t="array" ref="R436">_xlfn.IFS(L436=0,"No Discount",L436&lt;=5,"Low Discount",L436&lt;=10,"Medium Discount",L436&lt;=20,"High Discount")</f>
        <v>High Discount</v>
      </c>
      <c r="S436" s="20" t="s">
        <v>70</v>
      </c>
      <c r="T436" s="20" t="s">
        <v>36</v>
      </c>
      <c r="U436" s="23">
        <v>3.3</v>
      </c>
      <c r="V436" s="75" t="str" cm="1">
        <f t="array" ref="V436">_xlfn.IFS(U436=0,"Not Rated",U436&gt;=4.5,"High Rating",U436&gt;=3,"Medium Rating",U436&lt;3,"Low Rating")</f>
        <v>Medium Rating</v>
      </c>
    </row>
    <row r="437" spans="1:22" x14ac:dyDescent="0.3">
      <c r="A437" s="24" t="s">
        <v>323</v>
      </c>
      <c r="B437" s="25">
        <v>46227</v>
      </c>
      <c r="C437" s="26" t="s">
        <v>19</v>
      </c>
      <c r="D437" s="26" t="s">
        <v>20</v>
      </c>
      <c r="E437" s="26" t="s">
        <v>21</v>
      </c>
      <c r="F437" s="26" t="s">
        <v>22</v>
      </c>
      <c r="G437" s="26" t="s">
        <v>23</v>
      </c>
      <c r="H437" s="26" t="s">
        <v>58</v>
      </c>
      <c r="I437" s="26" t="s">
        <v>59</v>
      </c>
      <c r="J437" s="27">
        <v>1</v>
      </c>
      <c r="K437" s="28">
        <v>5074.08</v>
      </c>
      <c r="L437" s="27">
        <v>0</v>
      </c>
      <c r="M437" s="22">
        <f t="shared" si="6"/>
        <v>0</v>
      </c>
      <c r="N437" s="28">
        <v>5074.08</v>
      </c>
      <c r="O437" s="28">
        <v>3600</v>
      </c>
      <c r="P437" s="28">
        <v>1474.08</v>
      </c>
      <c r="Q437" s="72" t="str">
        <f>IF(retail_store_performance_dashbo!$P437&gt;0,"Profit",IF(retail_store_performance_dashbo!$P437&lt;0,"Loss","Break Even"))</f>
        <v>Profit</v>
      </c>
      <c r="R437" s="62" t="str" cm="1">
        <f t="array" ref="R437">_xlfn.IFS(L437=0,"No Discount",L437&lt;=5,"Low Discount",L437&lt;=10,"Medium Discount",L437&lt;=20,"High Discount")</f>
        <v>No Discount</v>
      </c>
      <c r="S437" s="26" t="s">
        <v>43</v>
      </c>
      <c r="T437" s="26" t="s">
        <v>36</v>
      </c>
      <c r="U437" s="29">
        <v>4.7</v>
      </c>
      <c r="V437" s="75" t="str" cm="1">
        <f t="array" ref="V437">_xlfn.IFS(U437=0,"Not Rated",U437&gt;=4.5,"High Rating",U437&gt;=3,"Medium Rating",U437&lt;3,"Low Rating")</f>
        <v>High Rating</v>
      </c>
    </row>
    <row r="438" spans="1:22" x14ac:dyDescent="0.3">
      <c r="A438" s="18" t="s">
        <v>377</v>
      </c>
      <c r="B438" s="19">
        <v>46227</v>
      </c>
      <c r="C438" s="20" t="s">
        <v>19</v>
      </c>
      <c r="D438" s="20" t="s">
        <v>20</v>
      </c>
      <c r="E438" s="20" t="s">
        <v>21</v>
      </c>
      <c r="F438" s="20" t="s">
        <v>22</v>
      </c>
      <c r="G438" s="20" t="s">
        <v>23</v>
      </c>
      <c r="H438" s="20" t="s">
        <v>58</v>
      </c>
      <c r="I438" s="20" t="s">
        <v>69</v>
      </c>
      <c r="J438" s="21">
        <v>3</v>
      </c>
      <c r="K438" s="22">
        <v>713.38</v>
      </c>
      <c r="L438" s="21">
        <v>20</v>
      </c>
      <c r="M438" s="22">
        <f t="shared" si="6"/>
        <v>428.02799999999996</v>
      </c>
      <c r="N438" s="22">
        <v>1712.11</v>
      </c>
      <c r="O438" s="22">
        <v>1200</v>
      </c>
      <c r="P438" s="22">
        <v>512.11</v>
      </c>
      <c r="Q438" s="62" t="str">
        <f>IF(retail_store_performance_dashbo!$P438&gt;0,"Profit",IF(retail_store_performance_dashbo!$P438&lt;0,"Loss","Break Even"))</f>
        <v>Profit</v>
      </c>
      <c r="R438" s="62" t="str" cm="1">
        <f t="array" ref="R438">_xlfn.IFS(L438=0,"No Discount",L438&lt;=5,"Low Discount",L438&lt;=10,"Medium Discount",L438&lt;=20,"High Discount")</f>
        <v>High Discount</v>
      </c>
      <c r="S438" s="20" t="s">
        <v>35</v>
      </c>
      <c r="T438" s="20" t="s">
        <v>36</v>
      </c>
      <c r="U438" s="23">
        <v>4.5</v>
      </c>
      <c r="V438" s="75" t="str" cm="1">
        <f t="array" ref="V438">_xlfn.IFS(U438=0,"Not Rated",U438&gt;=4.5,"High Rating",U438&gt;=3,"Medium Rating",U438&lt;3,"Low Rating")</f>
        <v>High Rating</v>
      </c>
    </row>
    <row r="439" spans="1:22" x14ac:dyDescent="0.3">
      <c r="A439" s="24" t="s">
        <v>74</v>
      </c>
      <c r="B439" s="25">
        <v>46229</v>
      </c>
      <c r="C439" s="26" t="s">
        <v>29</v>
      </c>
      <c r="D439" s="26" t="s">
        <v>30</v>
      </c>
      <c r="E439" s="26" t="s">
        <v>31</v>
      </c>
      <c r="F439" s="26" t="s">
        <v>32</v>
      </c>
      <c r="G439" s="26" t="s">
        <v>33</v>
      </c>
      <c r="H439" s="26" t="s">
        <v>24</v>
      </c>
      <c r="I439" s="26" t="s">
        <v>75</v>
      </c>
      <c r="J439" s="27">
        <v>6</v>
      </c>
      <c r="K439" s="28">
        <v>468.33</v>
      </c>
      <c r="L439" s="27">
        <v>10</v>
      </c>
      <c r="M439" s="22">
        <f t="shared" si="6"/>
        <v>280.99799999999999</v>
      </c>
      <c r="N439" s="28">
        <v>2528.98</v>
      </c>
      <c r="O439" s="28">
        <v>1740</v>
      </c>
      <c r="P439" s="28">
        <v>788.98</v>
      </c>
      <c r="Q439" s="72" t="str">
        <f>IF(retail_store_performance_dashbo!$P439&gt;0,"Profit",IF(retail_store_performance_dashbo!$P439&lt;0,"Loss","Break Even"))</f>
        <v>Profit</v>
      </c>
      <c r="R439" s="62" t="str" cm="1">
        <f t="array" ref="R439">_xlfn.IFS(L439=0,"No Discount",L439&lt;=5,"Low Discount",L439&lt;=10,"Medium Discount",L439&lt;=20,"High Discount")</f>
        <v>Medium Discount</v>
      </c>
      <c r="S439" s="26" t="s">
        <v>67</v>
      </c>
      <c r="T439" s="26" t="s">
        <v>36</v>
      </c>
      <c r="U439" s="29">
        <v>4.8</v>
      </c>
      <c r="V439" s="75" t="str" cm="1">
        <f t="array" ref="V439">_xlfn.IFS(U439=0,"Not Rated",U439&gt;=4.5,"High Rating",U439&gt;=3,"Medium Rating",U439&lt;3,"Low Rating")</f>
        <v>High Rating</v>
      </c>
    </row>
    <row r="440" spans="1:22" x14ac:dyDescent="0.3">
      <c r="A440" s="18" t="s">
        <v>184</v>
      </c>
      <c r="B440" s="19">
        <v>46229</v>
      </c>
      <c r="C440" s="20" t="s">
        <v>29</v>
      </c>
      <c r="D440" s="20" t="s">
        <v>30</v>
      </c>
      <c r="E440" s="20" t="s">
        <v>31</v>
      </c>
      <c r="F440" s="20" t="s">
        <v>32</v>
      </c>
      <c r="G440" s="20" t="s">
        <v>33</v>
      </c>
      <c r="H440" s="20" t="s">
        <v>58</v>
      </c>
      <c r="I440" s="20" t="s">
        <v>72</v>
      </c>
      <c r="J440" s="21">
        <v>1</v>
      </c>
      <c r="K440" s="22">
        <v>3702.84</v>
      </c>
      <c r="L440" s="21">
        <v>0</v>
      </c>
      <c r="M440" s="22">
        <f t="shared" si="6"/>
        <v>0</v>
      </c>
      <c r="N440" s="22">
        <v>3702.84</v>
      </c>
      <c r="O440" s="22">
        <v>2700</v>
      </c>
      <c r="P440" s="22">
        <v>1002.84</v>
      </c>
      <c r="Q440" s="62" t="str">
        <f>IF(retail_store_performance_dashbo!$P440&gt;0,"Profit",IF(retail_store_performance_dashbo!$P440&lt;0,"Loss","Break Even"))</f>
        <v>Profit</v>
      </c>
      <c r="R440" s="62" t="str" cm="1">
        <f t="array" ref="R440">_xlfn.IFS(L440=0,"No Discount",L440&lt;=5,"Low Discount",L440&lt;=10,"Medium Discount",L440&lt;=20,"High Discount")</f>
        <v>No Discount</v>
      </c>
      <c r="S440" s="20" t="s">
        <v>26</v>
      </c>
      <c r="T440" s="20" t="s">
        <v>36</v>
      </c>
      <c r="U440" s="23">
        <v>4.5999999999999996</v>
      </c>
      <c r="V440" s="75" t="str" cm="1">
        <f t="array" ref="V440">_xlfn.IFS(U440=0,"Not Rated",U440&gt;=4.5,"High Rating",U440&gt;=3,"Medium Rating",U440&lt;3,"Low Rating")</f>
        <v>High Rating</v>
      </c>
    </row>
    <row r="441" spans="1:22" x14ac:dyDescent="0.3">
      <c r="A441" s="24" t="s">
        <v>292</v>
      </c>
      <c r="B441" s="25">
        <v>46229</v>
      </c>
      <c r="C441" s="26" t="s">
        <v>146</v>
      </c>
      <c r="D441" s="26" t="s">
        <v>147</v>
      </c>
      <c r="E441" s="26" t="s">
        <v>148</v>
      </c>
      <c r="F441" s="26" t="s">
        <v>22</v>
      </c>
      <c r="G441" s="26" t="s">
        <v>149</v>
      </c>
      <c r="H441" s="26" t="s">
        <v>48</v>
      </c>
      <c r="I441" s="26" t="s">
        <v>113</v>
      </c>
      <c r="J441" s="27">
        <v>1</v>
      </c>
      <c r="K441" s="28">
        <v>151.01</v>
      </c>
      <c r="L441" s="27">
        <v>5</v>
      </c>
      <c r="M441" s="22">
        <f t="shared" si="6"/>
        <v>7.5504999999999995</v>
      </c>
      <c r="N441" s="28">
        <v>143.46</v>
      </c>
      <c r="O441" s="28">
        <v>120</v>
      </c>
      <c r="P441" s="28">
        <v>23.46</v>
      </c>
      <c r="Q441" s="72" t="str">
        <f>IF(retail_store_performance_dashbo!$P441&gt;0,"Profit",IF(retail_store_performance_dashbo!$P441&lt;0,"Loss","Break Even"))</f>
        <v>Profit</v>
      </c>
      <c r="R441" s="62" t="str" cm="1">
        <f t="array" ref="R441">_xlfn.IFS(L441=0,"No Discount",L441&lt;=5,"Low Discount",L441&lt;=10,"Medium Discount",L441&lt;=20,"High Discount")</f>
        <v>Low Discount</v>
      </c>
      <c r="S441" s="26" t="s">
        <v>43</v>
      </c>
      <c r="T441" s="26" t="s">
        <v>36</v>
      </c>
      <c r="U441" s="29">
        <v>5</v>
      </c>
      <c r="V441" s="75" t="str" cm="1">
        <f t="array" ref="V441">_xlfn.IFS(U441=0,"Not Rated",U441&gt;=4.5,"High Rating",U441&gt;=3,"Medium Rating",U441&lt;3,"Low Rating")</f>
        <v>High Rating</v>
      </c>
    </row>
    <row r="442" spans="1:22" x14ac:dyDescent="0.3">
      <c r="A442" s="18" t="s">
        <v>302</v>
      </c>
      <c r="B442" s="19">
        <v>46229</v>
      </c>
      <c r="C442" s="20" t="s">
        <v>51</v>
      </c>
      <c r="D442" s="20" t="s">
        <v>52</v>
      </c>
      <c r="E442" s="20" t="s">
        <v>53</v>
      </c>
      <c r="F442" s="20" t="s">
        <v>54</v>
      </c>
      <c r="G442" s="20" t="s">
        <v>55</v>
      </c>
      <c r="H442" s="20" t="s">
        <v>45</v>
      </c>
      <c r="I442" s="20" t="s">
        <v>124</v>
      </c>
      <c r="J442" s="21">
        <v>4</v>
      </c>
      <c r="K442" s="22">
        <v>4064.99</v>
      </c>
      <c r="L442" s="21">
        <v>10</v>
      </c>
      <c r="M442" s="22">
        <f t="shared" si="6"/>
        <v>1625.9959999999999</v>
      </c>
      <c r="N442" s="22">
        <v>14633.96</v>
      </c>
      <c r="O442" s="22">
        <v>10400</v>
      </c>
      <c r="P442" s="22">
        <v>4233.96</v>
      </c>
      <c r="Q442" s="62" t="str">
        <f>IF(retail_store_performance_dashbo!$P442&gt;0,"Profit",IF(retail_store_performance_dashbo!$P442&lt;0,"Loss","Break Even"))</f>
        <v>Profit</v>
      </c>
      <c r="R442" s="62" t="str" cm="1">
        <f t="array" ref="R442">_xlfn.IFS(L442=0,"No Discount",L442&lt;=5,"Low Discount",L442&lt;=10,"Medium Discount",L442&lt;=20,"High Discount")</f>
        <v>Medium Discount</v>
      </c>
      <c r="S442" s="20" t="s">
        <v>35</v>
      </c>
      <c r="T442" s="20" t="s">
        <v>36</v>
      </c>
      <c r="U442" s="23">
        <v>3.5</v>
      </c>
      <c r="V442" s="75" t="str" cm="1">
        <f t="array" ref="V442">_xlfn.IFS(U442=0,"Not Rated",U442&gt;=4.5,"High Rating",U442&gt;=3,"Medium Rating",U442&lt;3,"Low Rating")</f>
        <v>Medium Rating</v>
      </c>
    </row>
    <row r="443" spans="1:22" x14ac:dyDescent="0.3">
      <c r="A443" s="24" t="s">
        <v>423</v>
      </c>
      <c r="B443" s="25">
        <v>46229</v>
      </c>
      <c r="C443" s="26" t="s">
        <v>51</v>
      </c>
      <c r="D443" s="26" t="s">
        <v>52</v>
      </c>
      <c r="E443" s="26" t="s">
        <v>53</v>
      </c>
      <c r="F443" s="26" t="s">
        <v>54</v>
      </c>
      <c r="G443" s="26" t="s">
        <v>55</v>
      </c>
      <c r="H443" s="26" t="s">
        <v>41</v>
      </c>
      <c r="I443" s="26" t="s">
        <v>92</v>
      </c>
      <c r="J443" s="27">
        <v>1</v>
      </c>
      <c r="K443" s="28">
        <v>57208.49</v>
      </c>
      <c r="L443" s="27">
        <v>0</v>
      </c>
      <c r="M443" s="22">
        <f t="shared" si="6"/>
        <v>0</v>
      </c>
      <c r="N443" s="28">
        <v>57208.49</v>
      </c>
      <c r="O443" s="28">
        <v>42000</v>
      </c>
      <c r="P443" s="28">
        <v>15208.49</v>
      </c>
      <c r="Q443" s="72" t="str">
        <f>IF(retail_store_performance_dashbo!$P443&gt;0,"Profit",IF(retail_store_performance_dashbo!$P443&lt;0,"Loss","Break Even"))</f>
        <v>Profit</v>
      </c>
      <c r="R443" s="62" t="str" cm="1">
        <f t="array" ref="R443">_xlfn.IFS(L443=0,"No Discount",L443&lt;=5,"Low Discount",L443&lt;=10,"Medium Discount",L443&lt;=20,"High Discount")</f>
        <v>No Discount</v>
      </c>
      <c r="S443" s="26" t="s">
        <v>43</v>
      </c>
      <c r="T443" s="26" t="s">
        <v>36</v>
      </c>
      <c r="U443" s="29">
        <v>4.3</v>
      </c>
      <c r="V443" s="75" t="str" cm="1">
        <f t="array" ref="V443">_xlfn.IFS(U443=0,"Not Rated",U443&gt;=4.5,"High Rating",U443&gt;=3,"Medium Rating",U443&lt;3,"Low Rating")</f>
        <v>Medium Rating</v>
      </c>
    </row>
    <row r="444" spans="1:22" x14ac:dyDescent="0.3">
      <c r="A444" s="18" t="s">
        <v>104</v>
      </c>
      <c r="B444" s="19">
        <v>46231</v>
      </c>
      <c r="C444" s="20" t="s">
        <v>38</v>
      </c>
      <c r="D444" s="20" t="s">
        <v>39</v>
      </c>
      <c r="E444" s="20" t="s">
        <v>39</v>
      </c>
      <c r="F444" s="20" t="s">
        <v>32</v>
      </c>
      <c r="G444" s="20" t="s">
        <v>40</v>
      </c>
      <c r="H444" s="20" t="s">
        <v>45</v>
      </c>
      <c r="I444" s="20" t="s">
        <v>46</v>
      </c>
      <c r="J444" s="21">
        <v>2</v>
      </c>
      <c r="K444" s="22">
        <v>3041.57</v>
      </c>
      <c r="L444" s="21">
        <v>0</v>
      </c>
      <c r="M444" s="22">
        <f t="shared" si="6"/>
        <v>0</v>
      </c>
      <c r="N444" s="22">
        <v>-6083.14</v>
      </c>
      <c r="O444" s="22">
        <v>3800</v>
      </c>
      <c r="P444" s="22">
        <v>-9883.14</v>
      </c>
      <c r="Q444" s="62" t="str">
        <f>IF(retail_store_performance_dashbo!$P444&gt;0,"Profit",IF(retail_store_performance_dashbo!$P444&lt;0,"Loss","Break Even"))</f>
        <v>Loss</v>
      </c>
      <c r="R444" s="62" t="str" cm="1">
        <f t="array" ref="R444">_xlfn.IFS(L444=0,"No Discount",L444&lt;=5,"Low Discount",L444&lt;=10,"Medium Discount",L444&lt;=20,"High Discount")</f>
        <v>No Discount</v>
      </c>
      <c r="S444" s="20" t="s">
        <v>43</v>
      </c>
      <c r="T444" s="20" t="s">
        <v>27</v>
      </c>
      <c r="U444" s="23">
        <v>4.3</v>
      </c>
      <c r="V444" s="75" t="str" cm="1">
        <f t="array" ref="V444">_xlfn.IFS(U444=0,"Not Rated",U444&gt;=4.5,"High Rating",U444&gt;=3,"Medium Rating",U444&lt;3,"Low Rating")</f>
        <v>Medium Rating</v>
      </c>
    </row>
    <row r="445" spans="1:22" x14ac:dyDescent="0.3">
      <c r="A445" s="24" t="s">
        <v>251</v>
      </c>
      <c r="B445" s="25">
        <v>46231</v>
      </c>
      <c r="C445" s="26" t="s">
        <v>146</v>
      </c>
      <c r="D445" s="26" t="s">
        <v>147</v>
      </c>
      <c r="E445" s="26" t="s">
        <v>148</v>
      </c>
      <c r="F445" s="26" t="s">
        <v>22</v>
      </c>
      <c r="G445" s="26" t="s">
        <v>149</v>
      </c>
      <c r="H445" s="26" t="s">
        <v>24</v>
      </c>
      <c r="I445" s="26" t="s">
        <v>66</v>
      </c>
      <c r="J445" s="27">
        <v>3</v>
      </c>
      <c r="K445" s="28">
        <v>532.36</v>
      </c>
      <c r="L445" s="27">
        <v>15</v>
      </c>
      <c r="M445" s="22">
        <f t="shared" si="6"/>
        <v>239.56199999999998</v>
      </c>
      <c r="N445" s="28">
        <v>1357.52</v>
      </c>
      <c r="O445" s="28">
        <v>1020</v>
      </c>
      <c r="P445" s="28">
        <v>337.52</v>
      </c>
      <c r="Q445" s="72" t="str">
        <f>IF(retail_store_performance_dashbo!$P445&gt;0,"Profit",IF(retail_store_performance_dashbo!$P445&lt;0,"Loss","Break Even"))</f>
        <v>Profit</v>
      </c>
      <c r="R445" s="62" t="str" cm="1">
        <f t="array" ref="R445">_xlfn.IFS(L445=0,"No Discount",L445&lt;=5,"Low Discount",L445&lt;=10,"Medium Discount",L445&lt;=20,"High Discount")</f>
        <v>High Discount</v>
      </c>
      <c r="S445" s="26" t="s">
        <v>26</v>
      </c>
      <c r="T445" s="26" t="s">
        <v>36</v>
      </c>
      <c r="U445" s="29">
        <v>4.5999999999999996</v>
      </c>
      <c r="V445" s="75" t="str" cm="1">
        <f t="array" ref="V445">_xlfn.IFS(U445=0,"Not Rated",U445&gt;=4.5,"High Rating",U445&gt;=3,"Medium Rating",U445&lt;3,"Low Rating")</f>
        <v>High Rating</v>
      </c>
    </row>
    <row r="446" spans="1:22" x14ac:dyDescent="0.3">
      <c r="A446" s="18" t="s">
        <v>500</v>
      </c>
      <c r="B446" s="19">
        <v>46232</v>
      </c>
      <c r="C446" s="20" t="s">
        <v>77</v>
      </c>
      <c r="D446" s="20" t="s">
        <v>78</v>
      </c>
      <c r="E446" s="20" t="s">
        <v>79</v>
      </c>
      <c r="F446" s="20" t="s">
        <v>80</v>
      </c>
      <c r="G446" s="20" t="s">
        <v>81</v>
      </c>
      <c r="H446" s="20" t="s">
        <v>24</v>
      </c>
      <c r="I446" s="20" t="s">
        <v>25</v>
      </c>
      <c r="J446" s="21">
        <v>4</v>
      </c>
      <c r="K446" s="22">
        <v>358.48</v>
      </c>
      <c r="L446" s="21">
        <v>5</v>
      </c>
      <c r="M446" s="22">
        <f t="shared" si="6"/>
        <v>71.695999999999998</v>
      </c>
      <c r="N446" s="22">
        <v>1362.22</v>
      </c>
      <c r="O446" s="22">
        <v>880</v>
      </c>
      <c r="P446" s="22">
        <v>482.22</v>
      </c>
      <c r="Q446" s="62" t="str">
        <f>IF(retail_store_performance_dashbo!$P446&gt;0,"Profit",IF(retail_store_performance_dashbo!$P446&lt;0,"Loss","Break Even"))</f>
        <v>Profit</v>
      </c>
      <c r="R446" s="62" t="str" cm="1">
        <f t="array" ref="R446">_xlfn.IFS(L446=0,"No Discount",L446&lt;=5,"Low Discount",L446&lt;=10,"Medium Discount",L446&lt;=20,"High Discount")</f>
        <v>Low Discount</v>
      </c>
      <c r="S446" s="20" t="s">
        <v>67</v>
      </c>
      <c r="T446" s="20" t="s">
        <v>36</v>
      </c>
      <c r="U446" s="23">
        <v>4.5999999999999996</v>
      </c>
      <c r="V446" s="75" t="str" cm="1">
        <f t="array" ref="V446">_xlfn.IFS(U446=0,"Not Rated",U446&gt;=4.5,"High Rating",U446&gt;=3,"Medium Rating",U446&lt;3,"Low Rating")</f>
        <v>High Rating</v>
      </c>
    </row>
    <row r="447" spans="1:22" x14ac:dyDescent="0.3">
      <c r="A447" s="24" t="s">
        <v>175</v>
      </c>
      <c r="B447" s="25">
        <v>46233</v>
      </c>
      <c r="C447" s="26" t="s">
        <v>38</v>
      </c>
      <c r="D447" s="26" t="s">
        <v>39</v>
      </c>
      <c r="E447" s="26" t="s">
        <v>39</v>
      </c>
      <c r="F447" s="26" t="s">
        <v>32</v>
      </c>
      <c r="G447" s="26" t="s">
        <v>40</v>
      </c>
      <c r="H447" s="26" t="s">
        <v>48</v>
      </c>
      <c r="I447" s="26" t="s">
        <v>109</v>
      </c>
      <c r="J447" s="27">
        <v>3</v>
      </c>
      <c r="K447" s="28">
        <v>619.91999999999996</v>
      </c>
      <c r="L447" s="27">
        <v>0</v>
      </c>
      <c r="M447" s="22">
        <f t="shared" si="6"/>
        <v>0</v>
      </c>
      <c r="N447" s="28">
        <v>1859.76</v>
      </c>
      <c r="O447" s="28">
        <v>1530</v>
      </c>
      <c r="P447" s="28">
        <v>329.76</v>
      </c>
      <c r="Q447" s="72" t="str">
        <f>IF(retail_store_performance_dashbo!$P447&gt;0,"Profit",IF(retail_store_performance_dashbo!$P447&lt;0,"Loss","Break Even"))</f>
        <v>Profit</v>
      </c>
      <c r="R447" s="62" t="str" cm="1">
        <f t="array" ref="R447">_xlfn.IFS(L447=0,"No Discount",L447&lt;=5,"Low Discount",L447&lt;=10,"Medium Discount",L447&lt;=20,"High Discount")</f>
        <v>No Discount</v>
      </c>
      <c r="S447" s="26" t="s">
        <v>26</v>
      </c>
      <c r="T447" s="26" t="s">
        <v>36</v>
      </c>
      <c r="U447" s="29">
        <v>4.8</v>
      </c>
      <c r="V447" s="75" t="str" cm="1">
        <f t="array" ref="V447">_xlfn.IFS(U447=0,"Not Rated",U447&gt;=4.5,"High Rating",U447&gt;=3,"Medium Rating",U447&lt;3,"Low Rating")</f>
        <v>High Rating</v>
      </c>
    </row>
    <row r="448" spans="1:22" x14ac:dyDescent="0.3">
      <c r="A448" s="18" t="s">
        <v>344</v>
      </c>
      <c r="B448" s="19">
        <v>46233</v>
      </c>
      <c r="C448" s="20" t="s">
        <v>51</v>
      </c>
      <c r="D448" s="20" t="s">
        <v>52</v>
      </c>
      <c r="E448" s="20" t="s">
        <v>53</v>
      </c>
      <c r="F448" s="20" t="s">
        <v>54</v>
      </c>
      <c r="G448" s="20" t="s">
        <v>55</v>
      </c>
      <c r="H448" s="20" t="s">
        <v>45</v>
      </c>
      <c r="I448" s="20" t="s">
        <v>101</v>
      </c>
      <c r="J448" s="21">
        <v>6</v>
      </c>
      <c r="K448" s="22">
        <v>1776.1</v>
      </c>
      <c r="L448" s="21">
        <v>20</v>
      </c>
      <c r="M448" s="22">
        <f t="shared" si="6"/>
        <v>2131.3199999999997</v>
      </c>
      <c r="N448" s="22">
        <v>8525.2800000000007</v>
      </c>
      <c r="O448" s="22">
        <v>6300</v>
      </c>
      <c r="P448" s="22">
        <v>2225.2800000000002</v>
      </c>
      <c r="Q448" s="62" t="str">
        <f>IF(retail_store_performance_dashbo!$P448&gt;0,"Profit",IF(retail_store_performance_dashbo!$P448&lt;0,"Loss","Break Even"))</f>
        <v>Profit</v>
      </c>
      <c r="R448" s="62" t="str" cm="1">
        <f t="array" ref="R448">_xlfn.IFS(L448=0,"No Discount",L448&lt;=5,"Low Discount",L448&lt;=10,"Medium Discount",L448&lt;=20,"High Discount")</f>
        <v>High Discount</v>
      </c>
      <c r="S448" s="20" t="s">
        <v>43</v>
      </c>
      <c r="T448" s="20" t="s">
        <v>36</v>
      </c>
      <c r="U448" s="23">
        <v>4.5999999999999996</v>
      </c>
      <c r="V448" s="75" t="str" cm="1">
        <f t="array" ref="V448">_xlfn.IFS(U448=0,"Not Rated",U448&gt;=4.5,"High Rating",U448&gt;=3,"Medium Rating",U448&lt;3,"Low Rating")</f>
        <v>High Rating</v>
      </c>
    </row>
    <row r="449" spans="1:22" x14ac:dyDescent="0.3">
      <c r="A449" s="24" t="s">
        <v>535</v>
      </c>
      <c r="B449" s="25">
        <v>46233</v>
      </c>
      <c r="C449" s="26" t="s">
        <v>29</v>
      </c>
      <c r="D449" s="26" t="s">
        <v>30</v>
      </c>
      <c r="E449" s="26" t="s">
        <v>31</v>
      </c>
      <c r="F449" s="26" t="s">
        <v>32</v>
      </c>
      <c r="G449" s="26" t="s">
        <v>33</v>
      </c>
      <c r="H449" s="26" t="s">
        <v>45</v>
      </c>
      <c r="I449" s="26" t="s">
        <v>88</v>
      </c>
      <c r="J449" s="27">
        <v>1</v>
      </c>
      <c r="K449" s="28">
        <v>944.19</v>
      </c>
      <c r="L449" s="27">
        <v>5</v>
      </c>
      <c r="M449" s="22">
        <f t="shared" si="6"/>
        <v>47.209500000000006</v>
      </c>
      <c r="N449" s="28">
        <v>896.98</v>
      </c>
      <c r="O449" s="28">
        <v>500</v>
      </c>
      <c r="P449" s="28">
        <v>396.98</v>
      </c>
      <c r="Q449" s="72" t="str">
        <f>IF(retail_store_performance_dashbo!$P449&gt;0,"Profit",IF(retail_store_performance_dashbo!$P449&lt;0,"Loss","Break Even"))</f>
        <v>Profit</v>
      </c>
      <c r="R449" s="62" t="str" cm="1">
        <f t="array" ref="R449">_xlfn.IFS(L449=0,"No Discount",L449&lt;=5,"Low Discount",L449&lt;=10,"Medium Discount",L449&lt;=20,"High Discount")</f>
        <v>Low Discount</v>
      </c>
      <c r="S449" s="26" t="s">
        <v>70</v>
      </c>
      <c r="T449" s="26" t="s">
        <v>36</v>
      </c>
      <c r="U449" s="29">
        <v>4.7</v>
      </c>
      <c r="V449" s="75" t="str" cm="1">
        <f t="array" ref="V449">_xlfn.IFS(U449=0,"Not Rated",U449&gt;=4.5,"High Rating",U449&gt;=3,"Medium Rating",U449&lt;3,"Low Rating")</f>
        <v>High Rating</v>
      </c>
    </row>
    <row r="450" spans="1:22" x14ac:dyDescent="0.3">
      <c r="A450" s="18" t="s">
        <v>303</v>
      </c>
      <c r="B450" s="19">
        <v>46234</v>
      </c>
      <c r="C450" s="20" t="s">
        <v>29</v>
      </c>
      <c r="D450" s="20" t="s">
        <v>30</v>
      </c>
      <c r="E450" s="20" t="s">
        <v>31</v>
      </c>
      <c r="F450" s="20" t="s">
        <v>32</v>
      </c>
      <c r="G450" s="20" t="s">
        <v>33</v>
      </c>
      <c r="H450" s="20" t="s">
        <v>58</v>
      </c>
      <c r="I450" s="20" t="s">
        <v>72</v>
      </c>
      <c r="J450" s="21">
        <v>6</v>
      </c>
      <c r="K450" s="22">
        <v>3958.9</v>
      </c>
      <c r="L450" s="21">
        <v>20</v>
      </c>
      <c r="M450" s="22">
        <f t="shared" si="6"/>
        <v>4750.68</v>
      </c>
      <c r="N450" s="22">
        <v>19002.72</v>
      </c>
      <c r="O450" s="22">
        <v>16200</v>
      </c>
      <c r="P450" s="22">
        <v>2802.72</v>
      </c>
      <c r="Q450" s="62" t="str">
        <f>IF(retail_store_performance_dashbo!$P450&gt;0,"Profit",IF(retail_store_performance_dashbo!$P450&lt;0,"Loss","Break Even"))</f>
        <v>Profit</v>
      </c>
      <c r="R450" s="62" t="str" cm="1">
        <f t="array" ref="R450">_xlfn.IFS(L450=0,"No Discount",L450&lt;=5,"Low Discount",L450&lt;=10,"Medium Discount",L450&lt;=20,"High Discount")</f>
        <v>High Discount</v>
      </c>
      <c r="S450" s="20" t="s">
        <v>43</v>
      </c>
      <c r="T450" s="20" t="s">
        <v>36</v>
      </c>
      <c r="U450" s="23">
        <v>4</v>
      </c>
      <c r="V450" s="75" t="str" cm="1">
        <f t="array" ref="V450">_xlfn.IFS(U450=0,"Not Rated",U450&gt;=4.5,"High Rating",U450&gt;=3,"Medium Rating",U450&lt;3,"Low Rating")</f>
        <v>Medium Rating</v>
      </c>
    </row>
    <row r="451" spans="1:22" x14ac:dyDescent="0.3">
      <c r="A451" s="24" t="s">
        <v>199</v>
      </c>
      <c r="B451" s="25">
        <v>46235</v>
      </c>
      <c r="C451" s="26" t="s">
        <v>19</v>
      </c>
      <c r="D451" s="26" t="s">
        <v>20</v>
      </c>
      <c r="E451" s="26" t="s">
        <v>21</v>
      </c>
      <c r="F451" s="26" t="s">
        <v>22</v>
      </c>
      <c r="G451" s="26" t="s">
        <v>23</v>
      </c>
      <c r="H451" s="26" t="s">
        <v>58</v>
      </c>
      <c r="I451" s="26" t="s">
        <v>82</v>
      </c>
      <c r="J451" s="27">
        <v>1</v>
      </c>
      <c r="K451" s="28">
        <v>2482.9899999999998</v>
      </c>
      <c r="L451" s="27">
        <v>10</v>
      </c>
      <c r="M451" s="22">
        <f t="shared" ref="M451:M501" si="7">J451*K451*L451/100</f>
        <v>248.29899999999998</v>
      </c>
      <c r="N451" s="28">
        <v>2234.69</v>
      </c>
      <c r="O451" s="28">
        <v>1550</v>
      </c>
      <c r="P451" s="28">
        <v>684.69</v>
      </c>
      <c r="Q451" s="72" t="str">
        <f>IF(retail_store_performance_dashbo!$P451&gt;0,"Profit",IF(retail_store_performance_dashbo!$P451&lt;0,"Loss","Break Even"))</f>
        <v>Profit</v>
      </c>
      <c r="R451" s="62" t="str" cm="1">
        <f t="array" ref="R451">_xlfn.IFS(L451=0,"No Discount",L451&lt;=5,"Low Discount",L451&lt;=10,"Medium Discount",L451&lt;=20,"High Discount")</f>
        <v>Medium Discount</v>
      </c>
      <c r="S451" s="26" t="s">
        <v>70</v>
      </c>
      <c r="T451" s="26" t="s">
        <v>36</v>
      </c>
      <c r="U451" s="29">
        <v>3.9</v>
      </c>
      <c r="V451" s="75" t="str" cm="1">
        <f t="array" ref="V451">_xlfn.IFS(U451=0,"Not Rated",U451&gt;=4.5,"High Rating",U451&gt;=3,"Medium Rating",U451&lt;3,"Low Rating")</f>
        <v>Medium Rating</v>
      </c>
    </row>
    <row r="452" spans="1:22" x14ac:dyDescent="0.3">
      <c r="A452" s="18" t="s">
        <v>245</v>
      </c>
      <c r="B452" s="19">
        <v>46237</v>
      </c>
      <c r="C452" s="20" t="s">
        <v>29</v>
      </c>
      <c r="D452" s="20" t="s">
        <v>30</v>
      </c>
      <c r="E452" s="20" t="s">
        <v>31</v>
      </c>
      <c r="F452" s="20" t="s">
        <v>32</v>
      </c>
      <c r="G452" s="20" t="s">
        <v>33</v>
      </c>
      <c r="H452" s="20" t="s">
        <v>48</v>
      </c>
      <c r="I452" s="20" t="s">
        <v>49</v>
      </c>
      <c r="J452" s="21">
        <v>5</v>
      </c>
      <c r="K452" s="22">
        <v>286.89</v>
      </c>
      <c r="L452" s="21">
        <v>5</v>
      </c>
      <c r="M452" s="22">
        <f t="shared" si="7"/>
        <v>71.722499999999997</v>
      </c>
      <c r="N452" s="22">
        <v>1362.73</v>
      </c>
      <c r="O452" s="22">
        <v>1050</v>
      </c>
      <c r="P452" s="22">
        <v>312.73</v>
      </c>
      <c r="Q452" s="62" t="str">
        <f>IF(retail_store_performance_dashbo!$P452&gt;0,"Profit",IF(retail_store_performance_dashbo!$P452&lt;0,"Loss","Break Even"))</f>
        <v>Profit</v>
      </c>
      <c r="R452" s="62" t="str" cm="1">
        <f t="array" ref="R452">_xlfn.IFS(L452=0,"No Discount",L452&lt;=5,"Low Discount",L452&lt;=10,"Medium Discount",L452&lt;=20,"High Discount")</f>
        <v>Low Discount</v>
      </c>
      <c r="S452" s="20" t="s">
        <v>26</v>
      </c>
      <c r="T452" s="20" t="s">
        <v>36</v>
      </c>
      <c r="U452" s="23">
        <v>4.7</v>
      </c>
      <c r="V452" s="75" t="str" cm="1">
        <f t="array" ref="V452">_xlfn.IFS(U452=0,"Not Rated",U452&gt;=4.5,"High Rating",U452&gt;=3,"Medium Rating",U452&lt;3,"Low Rating")</f>
        <v>High Rating</v>
      </c>
    </row>
    <row r="453" spans="1:22" x14ac:dyDescent="0.3">
      <c r="A453" s="24" t="s">
        <v>134</v>
      </c>
      <c r="B453" s="25">
        <v>46238</v>
      </c>
      <c r="C453" s="26" t="s">
        <v>19</v>
      </c>
      <c r="D453" s="26" t="s">
        <v>20</v>
      </c>
      <c r="E453" s="26" t="s">
        <v>21</v>
      </c>
      <c r="F453" s="26" t="s">
        <v>22</v>
      </c>
      <c r="G453" s="26" t="s">
        <v>23</v>
      </c>
      <c r="H453" s="26" t="s">
        <v>41</v>
      </c>
      <c r="I453" s="26" t="s">
        <v>135</v>
      </c>
      <c r="J453" s="27">
        <v>3</v>
      </c>
      <c r="K453" s="28">
        <v>1764.48</v>
      </c>
      <c r="L453" s="27">
        <v>5</v>
      </c>
      <c r="M453" s="22">
        <f t="shared" si="7"/>
        <v>264.67200000000003</v>
      </c>
      <c r="N453" s="28">
        <v>5028.7700000000004</v>
      </c>
      <c r="O453" s="28">
        <v>3300</v>
      </c>
      <c r="P453" s="28">
        <v>1728.77</v>
      </c>
      <c r="Q453" s="72" t="str">
        <f>IF(retail_store_performance_dashbo!$P453&gt;0,"Profit",IF(retail_store_performance_dashbo!$P453&lt;0,"Loss","Break Even"))</f>
        <v>Profit</v>
      </c>
      <c r="R453" s="62" t="str" cm="1">
        <f t="array" ref="R453">_xlfn.IFS(L453=0,"No Discount",L453&lt;=5,"Low Discount",L453&lt;=10,"Medium Discount",L453&lt;=20,"High Discount")</f>
        <v>Low Discount</v>
      </c>
      <c r="S453" s="26" t="s">
        <v>67</v>
      </c>
      <c r="T453" s="26" t="s">
        <v>36</v>
      </c>
      <c r="U453" s="29">
        <v>3.5</v>
      </c>
      <c r="V453" s="75" t="str" cm="1">
        <f t="array" ref="V453">_xlfn.IFS(U453=0,"Not Rated",U453&gt;=4.5,"High Rating",U453&gt;=3,"Medium Rating",U453&lt;3,"Low Rating")</f>
        <v>Medium Rating</v>
      </c>
    </row>
    <row r="454" spans="1:22" x14ac:dyDescent="0.3">
      <c r="A454" s="18" t="s">
        <v>173</v>
      </c>
      <c r="B454" s="19">
        <v>46238</v>
      </c>
      <c r="C454" s="20" t="s">
        <v>19</v>
      </c>
      <c r="D454" s="20" t="s">
        <v>20</v>
      </c>
      <c r="E454" s="20" t="s">
        <v>21</v>
      </c>
      <c r="F454" s="20" t="s">
        <v>22</v>
      </c>
      <c r="G454" s="20" t="s">
        <v>23</v>
      </c>
      <c r="H454" s="20" t="s">
        <v>58</v>
      </c>
      <c r="I454" s="20" t="s">
        <v>69</v>
      </c>
      <c r="J454" s="21">
        <v>2</v>
      </c>
      <c r="K454" s="22">
        <v>672.52</v>
      </c>
      <c r="L454" s="21">
        <v>5</v>
      </c>
      <c r="M454" s="22">
        <f t="shared" si="7"/>
        <v>67.251999999999995</v>
      </c>
      <c r="N454" s="22">
        <v>1277.79</v>
      </c>
      <c r="O454" s="22">
        <v>800</v>
      </c>
      <c r="P454" s="22">
        <v>477.79</v>
      </c>
      <c r="Q454" s="62" t="str">
        <f>IF(retail_store_performance_dashbo!$P454&gt;0,"Profit",IF(retail_store_performance_dashbo!$P454&lt;0,"Loss","Break Even"))</f>
        <v>Profit</v>
      </c>
      <c r="R454" s="62" t="str" cm="1">
        <f t="array" ref="R454">_xlfn.IFS(L454=0,"No Discount",L454&lt;=5,"Low Discount",L454&lt;=10,"Medium Discount",L454&lt;=20,"High Discount")</f>
        <v>Low Discount</v>
      </c>
      <c r="S454" s="20" t="s">
        <v>43</v>
      </c>
      <c r="T454" s="20" t="s">
        <v>36</v>
      </c>
      <c r="U454" s="23">
        <v>4.9000000000000004</v>
      </c>
      <c r="V454" s="75" t="str" cm="1">
        <f t="array" ref="V454">_xlfn.IFS(U454=0,"Not Rated",U454&gt;=4.5,"High Rating",U454&gt;=3,"Medium Rating",U454&lt;3,"Low Rating")</f>
        <v>High Rating</v>
      </c>
    </row>
    <row r="455" spans="1:22" x14ac:dyDescent="0.3">
      <c r="A455" s="24" t="s">
        <v>167</v>
      </c>
      <c r="B455" s="25">
        <v>46239</v>
      </c>
      <c r="C455" s="26" t="s">
        <v>77</v>
      </c>
      <c r="D455" s="26" t="s">
        <v>78</v>
      </c>
      <c r="E455" s="26" t="s">
        <v>79</v>
      </c>
      <c r="F455" s="26" t="s">
        <v>80</v>
      </c>
      <c r="G455" s="26" t="s">
        <v>81</v>
      </c>
      <c r="H455" s="26" t="s">
        <v>48</v>
      </c>
      <c r="I455" s="26" t="s">
        <v>49</v>
      </c>
      <c r="J455" s="27">
        <v>1</v>
      </c>
      <c r="K455" s="28">
        <v>270.58999999999997</v>
      </c>
      <c r="L455" s="27">
        <v>5</v>
      </c>
      <c r="M455" s="22">
        <f t="shared" si="7"/>
        <v>13.529499999999999</v>
      </c>
      <c r="N455" s="28">
        <v>257.06</v>
      </c>
      <c r="O455" s="28">
        <v>210</v>
      </c>
      <c r="P455" s="28">
        <v>47.06</v>
      </c>
      <c r="Q455" s="72" t="str">
        <f>IF(retail_store_performance_dashbo!$P455&gt;0,"Profit",IF(retail_store_performance_dashbo!$P455&lt;0,"Loss","Break Even"))</f>
        <v>Profit</v>
      </c>
      <c r="R455" s="62" t="str" cm="1">
        <f t="array" ref="R455">_xlfn.IFS(L455=0,"No Discount",L455&lt;=5,"Low Discount",L455&lt;=10,"Medium Discount",L455&lt;=20,"High Discount")</f>
        <v>Low Discount</v>
      </c>
      <c r="S455" s="26" t="s">
        <v>43</v>
      </c>
      <c r="T455" s="26" t="s">
        <v>36</v>
      </c>
      <c r="U455" s="29">
        <v>3.2</v>
      </c>
      <c r="V455" s="75" t="str" cm="1">
        <f t="array" ref="V455">_xlfn.IFS(U455=0,"Not Rated",U455&gt;=4.5,"High Rating",U455&gt;=3,"Medium Rating",U455&lt;3,"Low Rating")</f>
        <v>Medium Rating</v>
      </c>
    </row>
    <row r="456" spans="1:22" x14ac:dyDescent="0.3">
      <c r="A456" s="18" t="s">
        <v>370</v>
      </c>
      <c r="B456" s="19">
        <v>46239</v>
      </c>
      <c r="C456" s="20" t="s">
        <v>51</v>
      </c>
      <c r="D456" s="20" t="s">
        <v>52</v>
      </c>
      <c r="E456" s="20" t="s">
        <v>53</v>
      </c>
      <c r="F456" s="20" t="s">
        <v>54</v>
      </c>
      <c r="G456" s="20" t="s">
        <v>55</v>
      </c>
      <c r="H456" s="20" t="s">
        <v>58</v>
      </c>
      <c r="I456" s="20" t="s">
        <v>59</v>
      </c>
      <c r="J456" s="21">
        <v>1</v>
      </c>
      <c r="K456" s="22">
        <v>5413.14</v>
      </c>
      <c r="L456" s="21">
        <v>5</v>
      </c>
      <c r="M456" s="22">
        <f t="shared" si="7"/>
        <v>270.65699999999998</v>
      </c>
      <c r="N456" s="22">
        <v>5142.4799999999996</v>
      </c>
      <c r="O456" s="22">
        <v>3600</v>
      </c>
      <c r="P456" s="22">
        <v>1542.48</v>
      </c>
      <c r="Q456" s="62" t="str">
        <f>IF(retail_store_performance_dashbo!$P456&gt;0,"Profit",IF(retail_store_performance_dashbo!$P456&lt;0,"Loss","Break Even"))</f>
        <v>Profit</v>
      </c>
      <c r="R456" s="62" t="str" cm="1">
        <f t="array" ref="R456">_xlfn.IFS(L456=0,"No Discount",L456&lt;=5,"Low Discount",L456&lt;=10,"Medium Discount",L456&lt;=20,"High Discount")</f>
        <v>Low Discount</v>
      </c>
      <c r="S456" s="20" t="s">
        <v>70</v>
      </c>
      <c r="T456" s="20" t="s">
        <v>36</v>
      </c>
      <c r="U456" s="23">
        <v>3.9</v>
      </c>
      <c r="V456" s="75" t="str" cm="1">
        <f t="array" ref="V456">_xlfn.IFS(U456=0,"Not Rated",U456&gt;=4.5,"High Rating",U456&gt;=3,"Medium Rating",U456&lt;3,"Low Rating")</f>
        <v>Medium Rating</v>
      </c>
    </row>
    <row r="457" spans="1:22" x14ac:dyDescent="0.3">
      <c r="A457" s="24" t="s">
        <v>328</v>
      </c>
      <c r="B457" s="25">
        <v>46241</v>
      </c>
      <c r="C457" s="26" t="s">
        <v>97</v>
      </c>
      <c r="D457" s="26" t="s">
        <v>98</v>
      </c>
      <c r="E457" s="26" t="s">
        <v>99</v>
      </c>
      <c r="F457" s="26" t="s">
        <v>54</v>
      </c>
      <c r="G457" s="26" t="s">
        <v>100</v>
      </c>
      <c r="H457" s="26" t="s">
        <v>41</v>
      </c>
      <c r="I457" s="26" t="s">
        <v>135</v>
      </c>
      <c r="J457" s="27">
        <v>5</v>
      </c>
      <c r="K457" s="28">
        <v>1825.42</v>
      </c>
      <c r="L457" s="27">
        <v>0</v>
      </c>
      <c r="M457" s="22">
        <f t="shared" si="7"/>
        <v>0</v>
      </c>
      <c r="N457" s="28">
        <v>9127.1</v>
      </c>
      <c r="O457" s="28">
        <v>5500</v>
      </c>
      <c r="P457" s="28">
        <v>3627.1</v>
      </c>
      <c r="Q457" s="72" t="str">
        <f>IF(retail_store_performance_dashbo!$P457&gt;0,"Profit",IF(retail_store_performance_dashbo!$P457&lt;0,"Loss","Break Even"))</f>
        <v>Profit</v>
      </c>
      <c r="R457" s="62" t="str" cm="1">
        <f t="array" ref="R457">_xlfn.IFS(L457=0,"No Discount",L457&lt;=5,"Low Discount",L457&lt;=10,"Medium Discount",L457&lt;=20,"High Discount")</f>
        <v>No Discount</v>
      </c>
      <c r="S457" s="26" t="s">
        <v>35</v>
      </c>
      <c r="T457" s="26" t="s">
        <v>36</v>
      </c>
      <c r="U457" s="29">
        <v>4.2</v>
      </c>
      <c r="V457" s="75" t="str" cm="1">
        <f t="array" ref="V457">_xlfn.IFS(U457=0,"Not Rated",U457&gt;=4.5,"High Rating",U457&gt;=3,"Medium Rating",U457&lt;3,"Low Rating")</f>
        <v>Medium Rating</v>
      </c>
    </row>
    <row r="458" spans="1:22" x14ac:dyDescent="0.3">
      <c r="A458" s="18" t="s">
        <v>545</v>
      </c>
      <c r="B458" s="19">
        <v>46241</v>
      </c>
      <c r="C458" s="20" t="s">
        <v>38</v>
      </c>
      <c r="D458" s="20" t="s">
        <v>39</v>
      </c>
      <c r="E458" s="20" t="s">
        <v>39</v>
      </c>
      <c r="F458" s="20" t="s">
        <v>32</v>
      </c>
      <c r="G458" s="20" t="s">
        <v>40</v>
      </c>
      <c r="H458" s="20" t="s">
        <v>58</v>
      </c>
      <c r="I458" s="20" t="s">
        <v>69</v>
      </c>
      <c r="J458" s="21">
        <v>2</v>
      </c>
      <c r="K458" s="22">
        <v>734.43</v>
      </c>
      <c r="L458" s="21">
        <v>10</v>
      </c>
      <c r="M458" s="22">
        <f t="shared" si="7"/>
        <v>146.886</v>
      </c>
      <c r="N458" s="22">
        <v>-1321.97</v>
      </c>
      <c r="O458" s="22">
        <v>800</v>
      </c>
      <c r="P458" s="22">
        <v>-2121.9699999999998</v>
      </c>
      <c r="Q458" s="62" t="str">
        <f>IF(retail_store_performance_dashbo!$P458&gt;0,"Profit",IF(retail_store_performance_dashbo!$P458&lt;0,"Loss","Break Even"))</f>
        <v>Loss</v>
      </c>
      <c r="R458" s="62" t="str" cm="1">
        <f t="array" ref="R458">_xlfn.IFS(L458=0,"No Discount",L458&lt;=5,"Low Discount",L458&lt;=10,"Medium Discount",L458&lt;=20,"High Discount")</f>
        <v>Medium Discount</v>
      </c>
      <c r="S458" s="20" t="s">
        <v>35</v>
      </c>
      <c r="T458" s="20" t="s">
        <v>27</v>
      </c>
      <c r="U458" s="23">
        <v>4.7</v>
      </c>
      <c r="V458" s="75" t="str" cm="1">
        <f t="array" ref="V458">_xlfn.IFS(U458=0,"Not Rated",U458&gt;=4.5,"High Rating",U458&gt;=3,"Medium Rating",U458&lt;3,"Low Rating")</f>
        <v>High Rating</v>
      </c>
    </row>
    <row r="459" spans="1:22" x14ac:dyDescent="0.3">
      <c r="A459" s="24" t="s">
        <v>236</v>
      </c>
      <c r="B459" s="25">
        <v>46242</v>
      </c>
      <c r="C459" s="26" t="s">
        <v>51</v>
      </c>
      <c r="D459" s="26" t="s">
        <v>52</v>
      </c>
      <c r="E459" s="26" t="s">
        <v>53</v>
      </c>
      <c r="F459" s="26" t="s">
        <v>54</v>
      </c>
      <c r="G459" s="26" t="s">
        <v>55</v>
      </c>
      <c r="H459" s="26" t="s">
        <v>48</v>
      </c>
      <c r="I459" s="26" t="s">
        <v>56</v>
      </c>
      <c r="J459" s="27">
        <v>5</v>
      </c>
      <c r="K459" s="28">
        <v>101.7</v>
      </c>
      <c r="L459" s="27">
        <v>10</v>
      </c>
      <c r="M459" s="22">
        <f t="shared" si="7"/>
        <v>50.85</v>
      </c>
      <c r="N459" s="28">
        <v>457.65</v>
      </c>
      <c r="O459" s="28">
        <v>360</v>
      </c>
      <c r="P459" s="28">
        <v>97.65</v>
      </c>
      <c r="Q459" s="72" t="str">
        <f>IF(retail_store_performance_dashbo!$P459&gt;0,"Profit",IF(retail_store_performance_dashbo!$P459&lt;0,"Loss","Break Even"))</f>
        <v>Profit</v>
      </c>
      <c r="R459" s="62" t="str" cm="1">
        <f t="array" ref="R459">_xlfn.IFS(L459=0,"No Discount",L459&lt;=5,"Low Discount",L459&lt;=10,"Medium Discount",L459&lt;=20,"High Discount")</f>
        <v>Medium Discount</v>
      </c>
      <c r="S459" s="26" t="s">
        <v>70</v>
      </c>
      <c r="T459" s="26" t="s">
        <v>36</v>
      </c>
      <c r="U459" s="29">
        <v>3.4</v>
      </c>
      <c r="V459" s="75" t="str" cm="1">
        <f t="array" ref="V459">_xlfn.IFS(U459=0,"Not Rated",U459&gt;=4.5,"High Rating",U459&gt;=3,"Medium Rating",U459&lt;3,"Low Rating")</f>
        <v>Medium Rating</v>
      </c>
    </row>
    <row r="460" spans="1:22" x14ac:dyDescent="0.3">
      <c r="A460" s="18" t="s">
        <v>308</v>
      </c>
      <c r="B460" s="19">
        <v>46242</v>
      </c>
      <c r="C460" s="20" t="s">
        <v>51</v>
      </c>
      <c r="D460" s="20" t="s">
        <v>52</v>
      </c>
      <c r="E460" s="20" t="s">
        <v>53</v>
      </c>
      <c r="F460" s="20" t="s">
        <v>54</v>
      </c>
      <c r="G460" s="20" t="s">
        <v>55</v>
      </c>
      <c r="H460" s="20" t="s">
        <v>58</v>
      </c>
      <c r="I460" s="20" t="s">
        <v>69</v>
      </c>
      <c r="J460" s="21">
        <v>1</v>
      </c>
      <c r="K460" s="22">
        <v>730.96</v>
      </c>
      <c r="L460" s="21">
        <v>15</v>
      </c>
      <c r="M460" s="22">
        <f t="shared" si="7"/>
        <v>109.64400000000002</v>
      </c>
      <c r="N460" s="22">
        <v>0</v>
      </c>
      <c r="O460" s="22">
        <v>400</v>
      </c>
      <c r="P460" s="22">
        <v>0</v>
      </c>
      <c r="Q460" s="62" t="str">
        <f>IF(retail_store_performance_dashbo!$P460&gt;0,"Profit",IF(retail_store_performance_dashbo!$P460&lt;0,"Loss","Break Even"))</f>
        <v>Break Even</v>
      </c>
      <c r="R460" s="62" t="str" cm="1">
        <f t="array" ref="R460">_xlfn.IFS(L460=0,"No Discount",L460&lt;=5,"Low Discount",L460&lt;=10,"Medium Discount",L460&lt;=20,"High Discount")</f>
        <v>High Discount</v>
      </c>
      <c r="S460" s="20" t="s">
        <v>35</v>
      </c>
      <c r="T460" s="20" t="s">
        <v>83</v>
      </c>
      <c r="U460" s="23">
        <v>0</v>
      </c>
      <c r="V460" s="75" t="str" cm="1">
        <f t="array" ref="V460">_xlfn.IFS(U460=0,"Not Rated",U460&gt;=4.5,"High Rating",U460&gt;=3,"Medium Rating",U460&lt;3,"Low Rating")</f>
        <v>Not Rated</v>
      </c>
    </row>
    <row r="461" spans="1:22" x14ac:dyDescent="0.3">
      <c r="A461" s="24" t="s">
        <v>492</v>
      </c>
      <c r="B461" s="25">
        <v>46242</v>
      </c>
      <c r="C461" s="26" t="s">
        <v>61</v>
      </c>
      <c r="D461" s="26" t="s">
        <v>62</v>
      </c>
      <c r="E461" s="26" t="s">
        <v>63</v>
      </c>
      <c r="F461" s="26" t="s">
        <v>22</v>
      </c>
      <c r="G461" s="26" t="s">
        <v>64</v>
      </c>
      <c r="H461" s="26" t="s">
        <v>24</v>
      </c>
      <c r="I461" s="26" t="s">
        <v>34</v>
      </c>
      <c r="J461" s="27">
        <v>6</v>
      </c>
      <c r="K461" s="28">
        <v>1756.45</v>
      </c>
      <c r="L461" s="27">
        <v>15</v>
      </c>
      <c r="M461" s="22">
        <f t="shared" si="7"/>
        <v>1580.8050000000001</v>
      </c>
      <c r="N461" s="28">
        <v>8957.9</v>
      </c>
      <c r="O461" s="28">
        <v>6300</v>
      </c>
      <c r="P461" s="28">
        <v>2657.9</v>
      </c>
      <c r="Q461" s="72" t="str">
        <f>IF(retail_store_performance_dashbo!$P461&gt;0,"Profit",IF(retail_store_performance_dashbo!$P461&lt;0,"Loss","Break Even"))</f>
        <v>Profit</v>
      </c>
      <c r="R461" s="62" t="str" cm="1">
        <f t="array" ref="R461">_xlfn.IFS(L461=0,"No Discount",L461&lt;=5,"Low Discount",L461&lt;=10,"Medium Discount",L461&lt;=20,"High Discount")</f>
        <v>High Discount</v>
      </c>
      <c r="S461" s="26" t="s">
        <v>43</v>
      </c>
      <c r="T461" s="26" t="s">
        <v>36</v>
      </c>
      <c r="U461" s="29">
        <v>3.1</v>
      </c>
      <c r="V461" s="75" t="str" cm="1">
        <f t="array" ref="V461">_xlfn.IFS(U461=0,"Not Rated",U461&gt;=4.5,"High Rating",U461&gt;=3,"Medium Rating",U461&lt;3,"Low Rating")</f>
        <v>Medium Rating</v>
      </c>
    </row>
    <row r="462" spans="1:22" x14ac:dyDescent="0.3">
      <c r="A462" s="18" t="s">
        <v>574</v>
      </c>
      <c r="B462" s="19">
        <v>46242</v>
      </c>
      <c r="C462" s="20" t="s">
        <v>97</v>
      </c>
      <c r="D462" s="20" t="s">
        <v>98</v>
      </c>
      <c r="E462" s="20" t="s">
        <v>99</v>
      </c>
      <c r="F462" s="20" t="s">
        <v>54</v>
      </c>
      <c r="G462" s="20" t="s">
        <v>100</v>
      </c>
      <c r="H462" s="20" t="s">
        <v>48</v>
      </c>
      <c r="I462" s="20" t="s">
        <v>113</v>
      </c>
      <c r="J462" s="21">
        <v>5</v>
      </c>
      <c r="K462" s="22">
        <v>155.19999999999999</v>
      </c>
      <c r="L462" s="21">
        <v>5</v>
      </c>
      <c r="M462" s="22">
        <f t="shared" si="7"/>
        <v>38.799999999999997</v>
      </c>
      <c r="N462" s="22">
        <v>737.2</v>
      </c>
      <c r="O462" s="22">
        <v>600</v>
      </c>
      <c r="P462" s="22">
        <v>137.19999999999999</v>
      </c>
      <c r="Q462" s="62" t="str">
        <f>IF(retail_store_performance_dashbo!$P462&gt;0,"Profit",IF(retail_store_performance_dashbo!$P462&lt;0,"Loss","Break Even"))</f>
        <v>Profit</v>
      </c>
      <c r="R462" s="62" t="str" cm="1">
        <f t="array" ref="R462">_xlfn.IFS(L462=0,"No Discount",L462&lt;=5,"Low Discount",L462&lt;=10,"Medium Discount",L462&lt;=20,"High Discount")</f>
        <v>Low Discount</v>
      </c>
      <c r="S462" s="20" t="s">
        <v>67</v>
      </c>
      <c r="T462" s="20" t="s">
        <v>36</v>
      </c>
      <c r="U462" s="23">
        <v>4.2</v>
      </c>
      <c r="V462" s="75" t="str" cm="1">
        <f t="array" ref="V462">_xlfn.IFS(U462=0,"Not Rated",U462&gt;=4.5,"High Rating",U462&gt;=3,"Medium Rating",U462&lt;3,"Low Rating")</f>
        <v>Medium Rating</v>
      </c>
    </row>
    <row r="463" spans="1:22" x14ac:dyDescent="0.3">
      <c r="A463" s="24" t="s">
        <v>319</v>
      </c>
      <c r="B463" s="25">
        <v>46243</v>
      </c>
      <c r="C463" s="26" t="s">
        <v>51</v>
      </c>
      <c r="D463" s="26" t="s">
        <v>52</v>
      </c>
      <c r="E463" s="26" t="s">
        <v>53</v>
      </c>
      <c r="F463" s="26" t="s">
        <v>54</v>
      </c>
      <c r="G463" s="26" t="s">
        <v>55</v>
      </c>
      <c r="H463" s="26" t="s">
        <v>58</v>
      </c>
      <c r="I463" s="26" t="s">
        <v>59</v>
      </c>
      <c r="J463" s="27">
        <v>6</v>
      </c>
      <c r="K463" s="28">
        <v>5074.53</v>
      </c>
      <c r="L463" s="27">
        <v>0</v>
      </c>
      <c r="M463" s="22">
        <f t="shared" si="7"/>
        <v>0</v>
      </c>
      <c r="N463" s="28">
        <v>0</v>
      </c>
      <c r="O463" s="28">
        <v>21600</v>
      </c>
      <c r="P463" s="28">
        <v>0</v>
      </c>
      <c r="Q463" s="72" t="str">
        <f>IF(retail_store_performance_dashbo!$P463&gt;0,"Profit",IF(retail_store_performance_dashbo!$P463&lt;0,"Loss","Break Even"))</f>
        <v>Break Even</v>
      </c>
      <c r="R463" s="62" t="str" cm="1">
        <f t="array" ref="R463">_xlfn.IFS(L463=0,"No Discount",L463&lt;=5,"Low Discount",L463&lt;=10,"Medium Discount",L463&lt;=20,"High Discount")</f>
        <v>No Discount</v>
      </c>
      <c r="S463" s="26" t="s">
        <v>67</v>
      </c>
      <c r="T463" s="26" t="s">
        <v>83</v>
      </c>
      <c r="U463" s="29">
        <v>0</v>
      </c>
      <c r="V463" s="75" t="str" cm="1">
        <f t="array" ref="V463">_xlfn.IFS(U463=0,"Not Rated",U463&gt;=4.5,"High Rating",U463&gt;=3,"Medium Rating",U463&lt;3,"Low Rating")</f>
        <v>Not Rated</v>
      </c>
    </row>
    <row r="464" spans="1:22" x14ac:dyDescent="0.3">
      <c r="A464" s="18" t="s">
        <v>57</v>
      </c>
      <c r="B464" s="19">
        <v>46245</v>
      </c>
      <c r="C464" s="20" t="s">
        <v>38</v>
      </c>
      <c r="D464" s="20" t="s">
        <v>39</v>
      </c>
      <c r="E464" s="20" t="s">
        <v>39</v>
      </c>
      <c r="F464" s="20" t="s">
        <v>32</v>
      </c>
      <c r="G464" s="20" t="s">
        <v>40</v>
      </c>
      <c r="H464" s="20" t="s">
        <v>58</v>
      </c>
      <c r="I464" s="20" t="s">
        <v>59</v>
      </c>
      <c r="J464" s="21">
        <v>5</v>
      </c>
      <c r="K464" s="22">
        <v>5357.33</v>
      </c>
      <c r="L464" s="21">
        <v>20</v>
      </c>
      <c r="M464" s="22">
        <f t="shared" si="7"/>
        <v>5357.33</v>
      </c>
      <c r="N464" s="22">
        <v>21429.32</v>
      </c>
      <c r="O464" s="22">
        <v>18000</v>
      </c>
      <c r="P464" s="22">
        <v>3429.32</v>
      </c>
      <c r="Q464" s="62" t="str">
        <f>IF(retail_store_performance_dashbo!$P464&gt;0,"Profit",IF(retail_store_performance_dashbo!$P464&lt;0,"Loss","Break Even"))</f>
        <v>Profit</v>
      </c>
      <c r="R464" s="62" t="str" cm="1">
        <f t="array" ref="R464">_xlfn.IFS(L464=0,"No Discount",L464&lt;=5,"Low Discount",L464&lt;=10,"Medium Discount",L464&lt;=20,"High Discount")</f>
        <v>High Discount</v>
      </c>
      <c r="S464" s="20" t="s">
        <v>43</v>
      </c>
      <c r="T464" s="20" t="s">
        <v>36</v>
      </c>
      <c r="U464" s="23">
        <v>4</v>
      </c>
      <c r="V464" s="75" t="str" cm="1">
        <f t="array" ref="V464">_xlfn.IFS(U464=0,"Not Rated",U464&gt;=4.5,"High Rating",U464&gt;=3,"Medium Rating",U464&lt;3,"Low Rating")</f>
        <v>Medium Rating</v>
      </c>
    </row>
    <row r="465" spans="1:22" x14ac:dyDescent="0.3">
      <c r="A465" s="24" t="s">
        <v>225</v>
      </c>
      <c r="B465" s="25">
        <v>46245</v>
      </c>
      <c r="C465" s="26" t="s">
        <v>29</v>
      </c>
      <c r="D465" s="26" t="s">
        <v>30</v>
      </c>
      <c r="E465" s="26" t="s">
        <v>31</v>
      </c>
      <c r="F465" s="26" t="s">
        <v>32</v>
      </c>
      <c r="G465" s="26" t="s">
        <v>33</v>
      </c>
      <c r="H465" s="26" t="s">
        <v>58</v>
      </c>
      <c r="I465" s="26" t="s">
        <v>82</v>
      </c>
      <c r="J465" s="27">
        <v>5</v>
      </c>
      <c r="K465" s="28">
        <v>2357.87</v>
      </c>
      <c r="L465" s="27">
        <v>15</v>
      </c>
      <c r="M465" s="22">
        <f t="shared" si="7"/>
        <v>1768.4024999999997</v>
      </c>
      <c r="N465" s="28">
        <v>10020.950000000001</v>
      </c>
      <c r="O465" s="28">
        <v>7750</v>
      </c>
      <c r="P465" s="28">
        <v>2270.9499999999998</v>
      </c>
      <c r="Q465" s="72" t="str">
        <f>IF(retail_store_performance_dashbo!$P465&gt;0,"Profit",IF(retail_store_performance_dashbo!$P465&lt;0,"Loss","Break Even"))</f>
        <v>Profit</v>
      </c>
      <c r="R465" s="62" t="str" cm="1">
        <f t="array" ref="R465">_xlfn.IFS(L465=0,"No Discount",L465&lt;=5,"Low Discount",L465&lt;=10,"Medium Discount",L465&lt;=20,"High Discount")</f>
        <v>High Discount</v>
      </c>
      <c r="S465" s="26" t="s">
        <v>43</v>
      </c>
      <c r="T465" s="26" t="s">
        <v>36</v>
      </c>
      <c r="U465" s="29">
        <v>4.5</v>
      </c>
      <c r="V465" s="75" t="str" cm="1">
        <f t="array" ref="V465">_xlfn.IFS(U465=0,"Not Rated",U465&gt;=4.5,"High Rating",U465&gt;=3,"Medium Rating",U465&lt;3,"Low Rating")</f>
        <v>High Rating</v>
      </c>
    </row>
    <row r="466" spans="1:22" x14ac:dyDescent="0.3">
      <c r="A466" s="18" t="s">
        <v>286</v>
      </c>
      <c r="B466" s="19">
        <v>46245</v>
      </c>
      <c r="C466" s="20" t="s">
        <v>19</v>
      </c>
      <c r="D466" s="20" t="s">
        <v>20</v>
      </c>
      <c r="E466" s="20" t="s">
        <v>21</v>
      </c>
      <c r="F466" s="20" t="s">
        <v>22</v>
      </c>
      <c r="G466" s="20" t="s">
        <v>23</v>
      </c>
      <c r="H466" s="20" t="s">
        <v>48</v>
      </c>
      <c r="I466" s="20" t="s">
        <v>49</v>
      </c>
      <c r="J466" s="21">
        <v>1</v>
      </c>
      <c r="K466" s="22">
        <v>267.83999999999997</v>
      </c>
      <c r="L466" s="21">
        <v>10</v>
      </c>
      <c r="M466" s="22">
        <f t="shared" si="7"/>
        <v>26.783999999999995</v>
      </c>
      <c r="N466" s="22">
        <v>241.06</v>
      </c>
      <c r="O466" s="22">
        <v>210</v>
      </c>
      <c r="P466" s="22">
        <v>31.06</v>
      </c>
      <c r="Q466" s="62" t="str">
        <f>IF(retail_store_performance_dashbo!$P466&gt;0,"Profit",IF(retail_store_performance_dashbo!$P466&lt;0,"Loss","Break Even"))</f>
        <v>Profit</v>
      </c>
      <c r="R466" s="62" t="str" cm="1">
        <f t="array" ref="R466">_xlfn.IFS(L466=0,"No Discount",L466&lt;=5,"Low Discount",L466&lt;=10,"Medium Discount",L466&lt;=20,"High Discount")</f>
        <v>Medium Discount</v>
      </c>
      <c r="S466" s="20" t="s">
        <v>67</v>
      </c>
      <c r="T466" s="20" t="s">
        <v>36</v>
      </c>
      <c r="U466" s="23">
        <v>4.5</v>
      </c>
      <c r="V466" s="75" t="str" cm="1">
        <f t="array" ref="V466">_xlfn.IFS(U466=0,"Not Rated",U466&gt;=4.5,"High Rating",U466&gt;=3,"Medium Rating",U466&lt;3,"Low Rating")</f>
        <v>High Rating</v>
      </c>
    </row>
    <row r="467" spans="1:22" x14ac:dyDescent="0.3">
      <c r="A467" s="24" t="s">
        <v>354</v>
      </c>
      <c r="B467" s="25">
        <v>46246</v>
      </c>
      <c r="C467" s="26" t="s">
        <v>77</v>
      </c>
      <c r="D467" s="26" t="s">
        <v>78</v>
      </c>
      <c r="E467" s="26" t="s">
        <v>79</v>
      </c>
      <c r="F467" s="26" t="s">
        <v>80</v>
      </c>
      <c r="G467" s="26" t="s">
        <v>81</v>
      </c>
      <c r="H467" s="26" t="s">
        <v>48</v>
      </c>
      <c r="I467" s="26" t="s">
        <v>49</v>
      </c>
      <c r="J467" s="27">
        <v>1</v>
      </c>
      <c r="K467" s="28">
        <v>293.58999999999997</v>
      </c>
      <c r="L467" s="27">
        <v>10</v>
      </c>
      <c r="M467" s="22">
        <f t="shared" si="7"/>
        <v>29.358999999999995</v>
      </c>
      <c r="N467" s="28">
        <v>264.23</v>
      </c>
      <c r="O467" s="28">
        <v>210</v>
      </c>
      <c r="P467" s="28">
        <v>54.23</v>
      </c>
      <c r="Q467" s="72" t="str">
        <f>IF(retail_store_performance_dashbo!$P467&gt;0,"Profit",IF(retail_store_performance_dashbo!$P467&lt;0,"Loss","Break Even"))</f>
        <v>Profit</v>
      </c>
      <c r="R467" s="62" t="str" cm="1">
        <f t="array" ref="R467">_xlfn.IFS(L467=0,"No Discount",L467&lt;=5,"Low Discount",L467&lt;=10,"Medium Discount",L467&lt;=20,"High Discount")</f>
        <v>Medium Discount</v>
      </c>
      <c r="S467" s="26" t="s">
        <v>67</v>
      </c>
      <c r="T467" s="26" t="s">
        <v>36</v>
      </c>
      <c r="U467" s="29">
        <v>4.7</v>
      </c>
      <c r="V467" s="75" t="str" cm="1">
        <f t="array" ref="V467">_xlfn.IFS(U467=0,"Not Rated",U467&gt;=4.5,"High Rating",U467&gt;=3,"Medium Rating",U467&lt;3,"Low Rating")</f>
        <v>High Rating</v>
      </c>
    </row>
    <row r="468" spans="1:22" x14ac:dyDescent="0.3">
      <c r="A468" s="18" t="s">
        <v>358</v>
      </c>
      <c r="B468" s="19">
        <v>46246</v>
      </c>
      <c r="C468" s="20" t="s">
        <v>51</v>
      </c>
      <c r="D468" s="20" t="s">
        <v>52</v>
      </c>
      <c r="E468" s="20" t="s">
        <v>53</v>
      </c>
      <c r="F468" s="20" t="s">
        <v>54</v>
      </c>
      <c r="G468" s="20" t="s">
        <v>55</v>
      </c>
      <c r="H468" s="20" t="s">
        <v>48</v>
      </c>
      <c r="I468" s="20" t="s">
        <v>113</v>
      </c>
      <c r="J468" s="21">
        <v>2</v>
      </c>
      <c r="K468" s="22">
        <v>154.86000000000001</v>
      </c>
      <c r="L468" s="21">
        <v>15</v>
      </c>
      <c r="M468" s="22">
        <f t="shared" si="7"/>
        <v>46.457999999999998</v>
      </c>
      <c r="N468" s="22">
        <v>263.26</v>
      </c>
      <c r="O468" s="22">
        <v>240</v>
      </c>
      <c r="P468" s="22">
        <v>23.26</v>
      </c>
      <c r="Q468" s="62" t="str">
        <f>IF(retail_store_performance_dashbo!$P468&gt;0,"Profit",IF(retail_store_performance_dashbo!$P468&lt;0,"Loss","Break Even"))</f>
        <v>Profit</v>
      </c>
      <c r="R468" s="62" t="str" cm="1">
        <f t="array" ref="R468">_xlfn.IFS(L468=0,"No Discount",L468&lt;=5,"Low Discount",L468&lt;=10,"Medium Discount",L468&lt;=20,"High Discount")</f>
        <v>High Discount</v>
      </c>
      <c r="S468" s="20" t="s">
        <v>70</v>
      </c>
      <c r="T468" s="20" t="s">
        <v>36</v>
      </c>
      <c r="U468" s="23">
        <v>4</v>
      </c>
      <c r="V468" s="75" t="str" cm="1">
        <f t="array" ref="V468">_xlfn.IFS(U468=0,"Not Rated",U468&gt;=4.5,"High Rating",U468&gt;=3,"Medium Rating",U468&lt;3,"Low Rating")</f>
        <v>Medium Rating</v>
      </c>
    </row>
    <row r="469" spans="1:22" x14ac:dyDescent="0.3">
      <c r="A469" s="24" t="s">
        <v>195</v>
      </c>
      <c r="B469" s="25">
        <v>46247</v>
      </c>
      <c r="C469" s="26" t="s">
        <v>146</v>
      </c>
      <c r="D469" s="26" t="s">
        <v>147</v>
      </c>
      <c r="E469" s="26" t="s">
        <v>148</v>
      </c>
      <c r="F469" s="26" t="s">
        <v>22</v>
      </c>
      <c r="G469" s="26" t="s">
        <v>149</v>
      </c>
      <c r="H469" s="26" t="s">
        <v>48</v>
      </c>
      <c r="I469" s="26" t="s">
        <v>113</v>
      </c>
      <c r="J469" s="27">
        <v>5</v>
      </c>
      <c r="K469" s="28">
        <v>152.63</v>
      </c>
      <c r="L469" s="27">
        <v>5</v>
      </c>
      <c r="M469" s="22">
        <f t="shared" si="7"/>
        <v>38.157499999999999</v>
      </c>
      <c r="N469" s="28">
        <v>724.99</v>
      </c>
      <c r="O469" s="28">
        <v>600</v>
      </c>
      <c r="P469" s="28">
        <v>124.99</v>
      </c>
      <c r="Q469" s="72" t="str">
        <f>IF(retail_store_performance_dashbo!$P469&gt;0,"Profit",IF(retail_store_performance_dashbo!$P469&lt;0,"Loss","Break Even"))</f>
        <v>Profit</v>
      </c>
      <c r="R469" s="62" t="str" cm="1">
        <f t="array" ref="R469">_xlfn.IFS(L469=0,"No Discount",L469&lt;=5,"Low Discount",L469&lt;=10,"Medium Discount",L469&lt;=20,"High Discount")</f>
        <v>Low Discount</v>
      </c>
      <c r="S469" s="26" t="s">
        <v>67</v>
      </c>
      <c r="T469" s="26" t="s">
        <v>36</v>
      </c>
      <c r="U469" s="29">
        <v>4.0999999999999996</v>
      </c>
      <c r="V469" s="75" t="str" cm="1">
        <f t="array" ref="V469">_xlfn.IFS(U469=0,"Not Rated",U469&gt;=4.5,"High Rating",U469&gt;=3,"Medium Rating",U469&lt;3,"Low Rating")</f>
        <v>Medium Rating</v>
      </c>
    </row>
    <row r="470" spans="1:22" x14ac:dyDescent="0.3">
      <c r="A470" s="18" t="s">
        <v>562</v>
      </c>
      <c r="B470" s="19">
        <v>46247</v>
      </c>
      <c r="C470" s="20" t="s">
        <v>146</v>
      </c>
      <c r="D470" s="20" t="s">
        <v>147</v>
      </c>
      <c r="E470" s="20" t="s">
        <v>148</v>
      </c>
      <c r="F470" s="20" t="s">
        <v>22</v>
      </c>
      <c r="G470" s="20" t="s">
        <v>149</v>
      </c>
      <c r="H470" s="20" t="s">
        <v>45</v>
      </c>
      <c r="I470" s="20" t="s">
        <v>101</v>
      </c>
      <c r="J470" s="21">
        <v>3</v>
      </c>
      <c r="K470" s="22">
        <v>1809.58</v>
      </c>
      <c r="L470" s="21">
        <v>10</v>
      </c>
      <c r="M470" s="22">
        <f t="shared" si="7"/>
        <v>542.87399999999991</v>
      </c>
      <c r="N470" s="22">
        <v>4885.87</v>
      </c>
      <c r="O470" s="22">
        <v>3150</v>
      </c>
      <c r="P470" s="22">
        <v>1735.87</v>
      </c>
      <c r="Q470" s="62" t="str">
        <f>IF(retail_store_performance_dashbo!$P470&gt;0,"Profit",IF(retail_store_performance_dashbo!$P470&lt;0,"Loss","Break Even"))</f>
        <v>Profit</v>
      </c>
      <c r="R470" s="62" t="str" cm="1">
        <f t="array" ref="R470">_xlfn.IFS(L470=0,"No Discount",L470&lt;=5,"Low Discount",L470&lt;=10,"Medium Discount",L470&lt;=20,"High Discount")</f>
        <v>Medium Discount</v>
      </c>
      <c r="S470" s="20" t="s">
        <v>35</v>
      </c>
      <c r="T470" s="20" t="s">
        <v>36</v>
      </c>
      <c r="U470" s="23">
        <v>4.7</v>
      </c>
      <c r="V470" s="75" t="str" cm="1">
        <f t="array" ref="V470">_xlfn.IFS(U470=0,"Not Rated",U470&gt;=4.5,"High Rating",U470&gt;=3,"Medium Rating",U470&lt;3,"Low Rating")</f>
        <v>High Rating</v>
      </c>
    </row>
    <row r="471" spans="1:22" x14ac:dyDescent="0.3">
      <c r="A471" s="24" t="s">
        <v>207</v>
      </c>
      <c r="B471" s="25">
        <v>46248</v>
      </c>
      <c r="C471" s="26" t="s">
        <v>77</v>
      </c>
      <c r="D471" s="26" t="s">
        <v>78</v>
      </c>
      <c r="E471" s="26" t="s">
        <v>79</v>
      </c>
      <c r="F471" s="26" t="s">
        <v>80</v>
      </c>
      <c r="G471" s="26" t="s">
        <v>81</v>
      </c>
      <c r="H471" s="26" t="s">
        <v>24</v>
      </c>
      <c r="I471" s="26" t="s">
        <v>66</v>
      </c>
      <c r="J471" s="27">
        <v>5</v>
      </c>
      <c r="K471" s="28">
        <v>541.76</v>
      </c>
      <c r="L471" s="27">
        <v>10</v>
      </c>
      <c r="M471" s="22">
        <f t="shared" si="7"/>
        <v>270.88</v>
      </c>
      <c r="N471" s="28">
        <v>2437.92</v>
      </c>
      <c r="O471" s="28">
        <v>1700</v>
      </c>
      <c r="P471" s="28">
        <v>737.92</v>
      </c>
      <c r="Q471" s="72" t="str">
        <f>IF(retail_store_performance_dashbo!$P471&gt;0,"Profit",IF(retail_store_performance_dashbo!$P471&lt;0,"Loss","Break Even"))</f>
        <v>Profit</v>
      </c>
      <c r="R471" s="62" t="str" cm="1">
        <f t="array" ref="R471">_xlfn.IFS(L471=0,"No Discount",L471&lt;=5,"Low Discount",L471&lt;=10,"Medium Discount",L471&lt;=20,"High Discount")</f>
        <v>Medium Discount</v>
      </c>
      <c r="S471" s="26" t="s">
        <v>67</v>
      </c>
      <c r="T471" s="26" t="s">
        <v>36</v>
      </c>
      <c r="U471" s="29">
        <v>4.0999999999999996</v>
      </c>
      <c r="V471" s="75" t="str" cm="1">
        <f t="array" ref="V471">_xlfn.IFS(U471=0,"Not Rated",U471&gt;=4.5,"High Rating",U471&gt;=3,"Medium Rating",U471&lt;3,"Low Rating")</f>
        <v>Medium Rating</v>
      </c>
    </row>
    <row r="472" spans="1:22" x14ac:dyDescent="0.3">
      <c r="A472" s="18" t="s">
        <v>329</v>
      </c>
      <c r="B472" s="19">
        <v>46248</v>
      </c>
      <c r="C472" s="20" t="s">
        <v>38</v>
      </c>
      <c r="D472" s="20" t="s">
        <v>39</v>
      </c>
      <c r="E472" s="20" t="s">
        <v>39</v>
      </c>
      <c r="F472" s="20" t="s">
        <v>32</v>
      </c>
      <c r="G472" s="20" t="s">
        <v>40</v>
      </c>
      <c r="H472" s="20" t="s">
        <v>48</v>
      </c>
      <c r="I472" s="20" t="s">
        <v>113</v>
      </c>
      <c r="J472" s="21">
        <v>2</v>
      </c>
      <c r="K472" s="22">
        <v>145.82</v>
      </c>
      <c r="L472" s="21">
        <v>5</v>
      </c>
      <c r="M472" s="22">
        <f t="shared" si="7"/>
        <v>14.581999999999999</v>
      </c>
      <c r="N472" s="22">
        <v>277.06</v>
      </c>
      <c r="O472" s="22">
        <v>240</v>
      </c>
      <c r="P472" s="22">
        <v>37.06</v>
      </c>
      <c r="Q472" s="62" t="str">
        <f>IF(retail_store_performance_dashbo!$P472&gt;0,"Profit",IF(retail_store_performance_dashbo!$P472&lt;0,"Loss","Break Even"))</f>
        <v>Profit</v>
      </c>
      <c r="R472" s="62" t="str" cm="1">
        <f t="array" ref="R472">_xlfn.IFS(L472=0,"No Discount",L472&lt;=5,"Low Discount",L472&lt;=10,"Medium Discount",L472&lt;=20,"High Discount")</f>
        <v>Low Discount</v>
      </c>
      <c r="S472" s="20" t="s">
        <v>26</v>
      </c>
      <c r="T472" s="20" t="s">
        <v>36</v>
      </c>
      <c r="U472" s="23">
        <v>3.8</v>
      </c>
      <c r="V472" s="75" t="str" cm="1">
        <f t="array" ref="V472">_xlfn.IFS(U472=0,"Not Rated",U472&gt;=4.5,"High Rating",U472&gt;=3,"Medium Rating",U472&lt;3,"Low Rating")</f>
        <v>Medium Rating</v>
      </c>
    </row>
    <row r="473" spans="1:22" x14ac:dyDescent="0.3">
      <c r="A473" s="24" t="s">
        <v>468</v>
      </c>
      <c r="B473" s="25">
        <v>46248</v>
      </c>
      <c r="C473" s="26" t="s">
        <v>97</v>
      </c>
      <c r="D473" s="26" t="s">
        <v>98</v>
      </c>
      <c r="E473" s="26" t="s">
        <v>99</v>
      </c>
      <c r="F473" s="26" t="s">
        <v>54</v>
      </c>
      <c r="G473" s="26" t="s">
        <v>100</v>
      </c>
      <c r="H473" s="26" t="s">
        <v>24</v>
      </c>
      <c r="I473" s="26" t="s">
        <v>66</v>
      </c>
      <c r="J473" s="27">
        <v>4</v>
      </c>
      <c r="K473" s="28">
        <v>569.66</v>
      </c>
      <c r="L473" s="27">
        <v>0</v>
      </c>
      <c r="M473" s="22">
        <f t="shared" si="7"/>
        <v>0</v>
      </c>
      <c r="N473" s="28">
        <v>2278.64</v>
      </c>
      <c r="O473" s="28">
        <v>1360</v>
      </c>
      <c r="P473" s="28">
        <v>918.64</v>
      </c>
      <c r="Q473" s="72" t="str">
        <f>IF(retail_store_performance_dashbo!$P473&gt;0,"Profit",IF(retail_store_performance_dashbo!$P473&lt;0,"Loss","Break Even"))</f>
        <v>Profit</v>
      </c>
      <c r="R473" s="62" t="str" cm="1">
        <f t="array" ref="R473">_xlfn.IFS(L473=0,"No Discount",L473&lt;=5,"Low Discount",L473&lt;=10,"Medium Discount",L473&lt;=20,"High Discount")</f>
        <v>No Discount</v>
      </c>
      <c r="S473" s="26" t="s">
        <v>70</v>
      </c>
      <c r="T473" s="26" t="s">
        <v>36</v>
      </c>
      <c r="U473" s="29">
        <v>4</v>
      </c>
      <c r="V473" s="75" t="str" cm="1">
        <f t="array" ref="V473">_xlfn.IFS(U473=0,"Not Rated",U473&gt;=4.5,"High Rating",U473&gt;=3,"Medium Rating",U473&lt;3,"Low Rating")</f>
        <v>Medium Rating</v>
      </c>
    </row>
    <row r="474" spans="1:22" x14ac:dyDescent="0.3">
      <c r="A474" s="18" t="s">
        <v>494</v>
      </c>
      <c r="B474" s="19">
        <v>46248</v>
      </c>
      <c r="C474" s="20" t="s">
        <v>19</v>
      </c>
      <c r="D474" s="20" t="s">
        <v>20</v>
      </c>
      <c r="E474" s="20" t="s">
        <v>21</v>
      </c>
      <c r="F474" s="20" t="s">
        <v>22</v>
      </c>
      <c r="G474" s="20" t="s">
        <v>23</v>
      </c>
      <c r="H474" s="20" t="s">
        <v>24</v>
      </c>
      <c r="I474" s="20" t="s">
        <v>66</v>
      </c>
      <c r="J474" s="21">
        <v>4</v>
      </c>
      <c r="K474" s="22">
        <v>554.63</v>
      </c>
      <c r="L474" s="21">
        <v>0</v>
      </c>
      <c r="M474" s="22">
        <f t="shared" si="7"/>
        <v>0</v>
      </c>
      <c r="N474" s="22">
        <v>2218.52</v>
      </c>
      <c r="O474" s="22">
        <v>1360</v>
      </c>
      <c r="P474" s="22">
        <v>858.52</v>
      </c>
      <c r="Q474" s="62" t="str">
        <f>IF(retail_store_performance_dashbo!$P474&gt;0,"Profit",IF(retail_store_performance_dashbo!$P474&lt;0,"Loss","Break Even"))</f>
        <v>Profit</v>
      </c>
      <c r="R474" s="62" t="str" cm="1">
        <f t="array" ref="R474">_xlfn.IFS(L474=0,"No Discount",L474&lt;=5,"Low Discount",L474&lt;=10,"Medium Discount",L474&lt;=20,"High Discount")</f>
        <v>No Discount</v>
      </c>
      <c r="S474" s="20" t="s">
        <v>70</v>
      </c>
      <c r="T474" s="20" t="s">
        <v>36</v>
      </c>
      <c r="U474" s="23">
        <v>4.9000000000000004</v>
      </c>
      <c r="V474" s="75" t="str" cm="1">
        <f t="array" ref="V474">_xlfn.IFS(U474=0,"Not Rated",U474&gt;=4.5,"High Rating",U474&gt;=3,"Medium Rating",U474&lt;3,"Low Rating")</f>
        <v>High Rating</v>
      </c>
    </row>
    <row r="475" spans="1:22" x14ac:dyDescent="0.3">
      <c r="A475" s="24" t="s">
        <v>65</v>
      </c>
      <c r="B475" s="25">
        <v>46250</v>
      </c>
      <c r="C475" s="26" t="s">
        <v>38</v>
      </c>
      <c r="D475" s="26" t="s">
        <v>39</v>
      </c>
      <c r="E475" s="26" t="s">
        <v>39</v>
      </c>
      <c r="F475" s="26" t="s">
        <v>32</v>
      </c>
      <c r="G475" s="26" t="s">
        <v>40</v>
      </c>
      <c r="H475" s="26" t="s">
        <v>24</v>
      </c>
      <c r="I475" s="26" t="s">
        <v>66</v>
      </c>
      <c r="J475" s="27">
        <v>4</v>
      </c>
      <c r="K475" s="28">
        <v>548.35</v>
      </c>
      <c r="L475" s="27">
        <v>20</v>
      </c>
      <c r="M475" s="22">
        <f t="shared" si="7"/>
        <v>438.68</v>
      </c>
      <c r="N475" s="28">
        <v>-1754.72</v>
      </c>
      <c r="O475" s="28">
        <v>1360</v>
      </c>
      <c r="P475" s="28">
        <v>-3114.72</v>
      </c>
      <c r="Q475" s="72" t="str">
        <f>IF(retail_store_performance_dashbo!$P475&gt;0,"Profit",IF(retail_store_performance_dashbo!$P475&lt;0,"Loss","Break Even"))</f>
        <v>Loss</v>
      </c>
      <c r="R475" s="62" t="str" cm="1">
        <f t="array" ref="R475">_xlfn.IFS(L475=0,"No Discount",L475&lt;=5,"Low Discount",L475&lt;=10,"Medium Discount",L475&lt;=20,"High Discount")</f>
        <v>High Discount</v>
      </c>
      <c r="S475" s="26" t="s">
        <v>67</v>
      </c>
      <c r="T475" s="26" t="s">
        <v>27</v>
      </c>
      <c r="U475" s="29">
        <v>4.7</v>
      </c>
      <c r="V475" s="75" t="str" cm="1">
        <f t="array" ref="V475">_xlfn.IFS(U475=0,"Not Rated",U475&gt;=4.5,"High Rating",U475&gt;=3,"Medium Rating",U475&lt;3,"Low Rating")</f>
        <v>High Rating</v>
      </c>
    </row>
    <row r="476" spans="1:22" x14ac:dyDescent="0.3">
      <c r="A476" s="18" t="s">
        <v>91</v>
      </c>
      <c r="B476" s="19">
        <v>46250</v>
      </c>
      <c r="C476" s="20" t="s">
        <v>38</v>
      </c>
      <c r="D476" s="20" t="s">
        <v>39</v>
      </c>
      <c r="E476" s="20" t="s">
        <v>39</v>
      </c>
      <c r="F476" s="20" t="s">
        <v>32</v>
      </c>
      <c r="G476" s="20" t="s">
        <v>40</v>
      </c>
      <c r="H476" s="20" t="s">
        <v>41</v>
      </c>
      <c r="I476" s="20" t="s">
        <v>92</v>
      </c>
      <c r="J476" s="21">
        <v>3</v>
      </c>
      <c r="K476" s="22">
        <v>55804.5</v>
      </c>
      <c r="L476" s="21">
        <v>0</v>
      </c>
      <c r="M476" s="22">
        <f t="shared" si="7"/>
        <v>0</v>
      </c>
      <c r="N476" s="22">
        <v>167413.5</v>
      </c>
      <c r="O476" s="22">
        <v>126000</v>
      </c>
      <c r="P476" s="22">
        <v>41413.5</v>
      </c>
      <c r="Q476" s="62" t="str">
        <f>IF(retail_store_performance_dashbo!$P476&gt;0,"Profit",IF(retail_store_performance_dashbo!$P476&lt;0,"Loss","Break Even"))</f>
        <v>Profit</v>
      </c>
      <c r="R476" s="62" t="str" cm="1">
        <f t="array" ref="R476">_xlfn.IFS(L476=0,"No Discount",L476&lt;=5,"Low Discount",L476&lt;=10,"Medium Discount",L476&lt;=20,"High Discount")</f>
        <v>No Discount</v>
      </c>
      <c r="S476" s="20" t="s">
        <v>70</v>
      </c>
      <c r="T476" s="20" t="s">
        <v>36</v>
      </c>
      <c r="U476" s="23">
        <v>4</v>
      </c>
      <c r="V476" s="75" t="str" cm="1">
        <f t="array" ref="V476">_xlfn.IFS(U476=0,"Not Rated",U476&gt;=4.5,"High Rating",U476&gt;=3,"Medium Rating",U476&lt;3,"Low Rating")</f>
        <v>Medium Rating</v>
      </c>
    </row>
    <row r="477" spans="1:22" x14ac:dyDescent="0.3">
      <c r="A477" s="24" t="s">
        <v>257</v>
      </c>
      <c r="B477" s="25">
        <v>46250</v>
      </c>
      <c r="C477" s="26" t="s">
        <v>29</v>
      </c>
      <c r="D477" s="26" t="s">
        <v>30</v>
      </c>
      <c r="E477" s="26" t="s">
        <v>31</v>
      </c>
      <c r="F477" s="26" t="s">
        <v>32</v>
      </c>
      <c r="G477" s="26" t="s">
        <v>33</v>
      </c>
      <c r="H477" s="26" t="s">
        <v>48</v>
      </c>
      <c r="I477" s="26" t="s">
        <v>49</v>
      </c>
      <c r="J477" s="27">
        <v>4</v>
      </c>
      <c r="K477" s="28">
        <v>268.56</v>
      </c>
      <c r="L477" s="27">
        <v>10</v>
      </c>
      <c r="M477" s="22">
        <f t="shared" si="7"/>
        <v>107.42399999999999</v>
      </c>
      <c r="N477" s="28">
        <v>966.82</v>
      </c>
      <c r="O477" s="28">
        <v>840</v>
      </c>
      <c r="P477" s="28">
        <v>126.82</v>
      </c>
      <c r="Q477" s="72" t="str">
        <f>IF(retail_store_performance_dashbo!$P477&gt;0,"Profit",IF(retail_store_performance_dashbo!$P477&lt;0,"Loss","Break Even"))</f>
        <v>Profit</v>
      </c>
      <c r="R477" s="62" t="str" cm="1">
        <f t="array" ref="R477">_xlfn.IFS(L477=0,"No Discount",L477&lt;=5,"Low Discount",L477&lt;=10,"Medium Discount",L477&lt;=20,"High Discount")</f>
        <v>Medium Discount</v>
      </c>
      <c r="S477" s="26" t="s">
        <v>35</v>
      </c>
      <c r="T477" s="26" t="s">
        <v>36</v>
      </c>
      <c r="U477" s="29">
        <v>3.1</v>
      </c>
      <c r="V477" s="75" t="str" cm="1">
        <f t="array" ref="V477">_xlfn.IFS(U477=0,"Not Rated",U477&gt;=4.5,"High Rating",U477&gt;=3,"Medium Rating",U477&lt;3,"Low Rating")</f>
        <v>Medium Rating</v>
      </c>
    </row>
    <row r="478" spans="1:22" x14ac:dyDescent="0.3">
      <c r="A478" s="18" t="s">
        <v>96</v>
      </c>
      <c r="B478" s="19">
        <v>46252</v>
      </c>
      <c r="C478" s="20" t="s">
        <v>97</v>
      </c>
      <c r="D478" s="20" t="s">
        <v>98</v>
      </c>
      <c r="E478" s="20" t="s">
        <v>99</v>
      </c>
      <c r="F478" s="20" t="s">
        <v>54</v>
      </c>
      <c r="G478" s="20" t="s">
        <v>100</v>
      </c>
      <c r="H478" s="20" t="s">
        <v>45</v>
      </c>
      <c r="I478" s="20" t="s">
        <v>101</v>
      </c>
      <c r="J478" s="21">
        <v>6</v>
      </c>
      <c r="K478" s="22">
        <v>1861.99</v>
      </c>
      <c r="L478" s="21">
        <v>15</v>
      </c>
      <c r="M478" s="22">
        <f t="shared" si="7"/>
        <v>1675.7910000000002</v>
      </c>
      <c r="N478" s="22">
        <v>9496.15</v>
      </c>
      <c r="O478" s="22">
        <v>6300</v>
      </c>
      <c r="P478" s="22">
        <v>3196.15</v>
      </c>
      <c r="Q478" s="62" t="str">
        <f>IF(retail_store_performance_dashbo!$P478&gt;0,"Profit",IF(retail_store_performance_dashbo!$P478&lt;0,"Loss","Break Even"))</f>
        <v>Profit</v>
      </c>
      <c r="R478" s="62" t="str" cm="1">
        <f t="array" ref="R478">_xlfn.IFS(L478=0,"No Discount",L478&lt;=5,"Low Discount",L478&lt;=10,"Medium Discount",L478&lt;=20,"High Discount")</f>
        <v>High Discount</v>
      </c>
      <c r="S478" s="20" t="s">
        <v>67</v>
      </c>
      <c r="T478" s="20" t="s">
        <v>36</v>
      </c>
      <c r="U478" s="23">
        <v>4.0999999999999996</v>
      </c>
      <c r="V478" s="75" t="str" cm="1">
        <f t="array" ref="V478">_xlfn.IFS(U478=0,"Not Rated",U478&gt;=4.5,"High Rating",U478&gt;=3,"Medium Rating",U478&lt;3,"Low Rating")</f>
        <v>Medium Rating</v>
      </c>
    </row>
    <row r="479" spans="1:22" x14ac:dyDescent="0.3">
      <c r="A479" s="24" t="s">
        <v>265</v>
      </c>
      <c r="B479" s="25">
        <v>46252</v>
      </c>
      <c r="C479" s="26" t="s">
        <v>29</v>
      </c>
      <c r="D479" s="26" t="s">
        <v>30</v>
      </c>
      <c r="E479" s="26" t="s">
        <v>31</v>
      </c>
      <c r="F479" s="26" t="s">
        <v>32</v>
      </c>
      <c r="G479" s="26" t="s">
        <v>33</v>
      </c>
      <c r="H479" s="26" t="s">
        <v>58</v>
      </c>
      <c r="I479" s="26" t="s">
        <v>72</v>
      </c>
      <c r="J479" s="27">
        <v>1</v>
      </c>
      <c r="K479" s="28">
        <v>3951.28</v>
      </c>
      <c r="L479" s="27">
        <v>10</v>
      </c>
      <c r="M479" s="22">
        <f t="shared" si="7"/>
        <v>395.12800000000004</v>
      </c>
      <c r="N479" s="28">
        <v>3556.15</v>
      </c>
      <c r="O479" s="28">
        <v>2700</v>
      </c>
      <c r="P479" s="28">
        <v>856.15</v>
      </c>
      <c r="Q479" s="72" t="str">
        <f>IF(retail_store_performance_dashbo!$P479&gt;0,"Profit",IF(retail_store_performance_dashbo!$P479&lt;0,"Loss","Break Even"))</f>
        <v>Profit</v>
      </c>
      <c r="R479" s="62" t="str" cm="1">
        <f t="array" ref="R479">_xlfn.IFS(L479=0,"No Discount",L479&lt;=5,"Low Discount",L479&lt;=10,"Medium Discount",L479&lt;=20,"High Discount")</f>
        <v>Medium Discount</v>
      </c>
      <c r="S479" s="26" t="s">
        <v>67</v>
      </c>
      <c r="T479" s="26" t="s">
        <v>36</v>
      </c>
      <c r="U479" s="29">
        <v>3.7</v>
      </c>
      <c r="V479" s="75" t="str" cm="1">
        <f t="array" ref="V479">_xlfn.IFS(U479=0,"Not Rated",U479&gt;=4.5,"High Rating",U479&gt;=3,"Medium Rating",U479&lt;3,"Low Rating")</f>
        <v>Medium Rating</v>
      </c>
    </row>
    <row r="480" spans="1:22" x14ac:dyDescent="0.3">
      <c r="A480" s="18" t="s">
        <v>382</v>
      </c>
      <c r="B480" s="19">
        <v>46252</v>
      </c>
      <c r="C480" s="20" t="s">
        <v>38</v>
      </c>
      <c r="D480" s="20" t="s">
        <v>39</v>
      </c>
      <c r="E480" s="20" t="s">
        <v>39</v>
      </c>
      <c r="F480" s="20" t="s">
        <v>32</v>
      </c>
      <c r="G480" s="20" t="s">
        <v>40</v>
      </c>
      <c r="H480" s="20" t="s">
        <v>58</v>
      </c>
      <c r="I480" s="20" t="s">
        <v>72</v>
      </c>
      <c r="J480" s="21">
        <v>6</v>
      </c>
      <c r="K480" s="22">
        <v>3738.62</v>
      </c>
      <c r="L480" s="21">
        <v>15</v>
      </c>
      <c r="M480" s="22">
        <f t="shared" si="7"/>
        <v>3364.7580000000003</v>
      </c>
      <c r="N480" s="22">
        <v>19066.96</v>
      </c>
      <c r="O480" s="22">
        <v>16200</v>
      </c>
      <c r="P480" s="22">
        <v>2866.96</v>
      </c>
      <c r="Q480" s="62" t="str">
        <f>IF(retail_store_performance_dashbo!$P480&gt;0,"Profit",IF(retail_store_performance_dashbo!$P480&lt;0,"Loss","Break Even"))</f>
        <v>Profit</v>
      </c>
      <c r="R480" s="62" t="str" cm="1">
        <f t="array" ref="R480">_xlfn.IFS(L480=0,"No Discount",L480&lt;=5,"Low Discount",L480&lt;=10,"Medium Discount",L480&lt;=20,"High Discount")</f>
        <v>High Discount</v>
      </c>
      <c r="S480" s="20" t="s">
        <v>35</v>
      </c>
      <c r="T480" s="20" t="s">
        <v>36</v>
      </c>
      <c r="U480" s="23">
        <v>4.5999999999999996</v>
      </c>
      <c r="V480" s="75" t="str" cm="1">
        <f t="array" ref="V480">_xlfn.IFS(U480=0,"Not Rated",U480&gt;=4.5,"High Rating",U480&gt;=3,"Medium Rating",U480&lt;3,"Low Rating")</f>
        <v>High Rating</v>
      </c>
    </row>
    <row r="481" spans="1:22" x14ac:dyDescent="0.3">
      <c r="A481" s="24" t="s">
        <v>166</v>
      </c>
      <c r="B481" s="25">
        <v>46253</v>
      </c>
      <c r="C481" s="26" t="s">
        <v>19</v>
      </c>
      <c r="D481" s="26" t="s">
        <v>20</v>
      </c>
      <c r="E481" s="26" t="s">
        <v>21</v>
      </c>
      <c r="F481" s="26" t="s">
        <v>22</v>
      </c>
      <c r="G481" s="26" t="s">
        <v>23</v>
      </c>
      <c r="H481" s="26" t="s">
        <v>45</v>
      </c>
      <c r="I481" s="26" t="s">
        <v>88</v>
      </c>
      <c r="J481" s="27">
        <v>6</v>
      </c>
      <c r="K481" s="28">
        <v>900.74</v>
      </c>
      <c r="L481" s="27">
        <v>20</v>
      </c>
      <c r="M481" s="22">
        <f t="shared" si="7"/>
        <v>1080.8880000000001</v>
      </c>
      <c r="N481" s="28">
        <v>4323.55</v>
      </c>
      <c r="O481" s="28">
        <v>3000</v>
      </c>
      <c r="P481" s="28">
        <v>1323.55</v>
      </c>
      <c r="Q481" s="72" t="str">
        <f>IF(retail_store_performance_dashbo!$P481&gt;0,"Profit",IF(retail_store_performance_dashbo!$P481&lt;0,"Loss","Break Even"))</f>
        <v>Profit</v>
      </c>
      <c r="R481" s="62" t="str" cm="1">
        <f t="array" ref="R481">_xlfn.IFS(L481=0,"No Discount",L481&lt;=5,"Low Discount",L481&lt;=10,"Medium Discount",L481&lt;=20,"High Discount")</f>
        <v>High Discount</v>
      </c>
      <c r="S481" s="26" t="s">
        <v>26</v>
      </c>
      <c r="T481" s="26" t="s">
        <v>36</v>
      </c>
      <c r="U481" s="29">
        <v>3.2</v>
      </c>
      <c r="V481" s="75" t="str" cm="1">
        <f t="array" ref="V481">_xlfn.IFS(U481=0,"Not Rated",U481&gt;=4.5,"High Rating",U481&gt;=3,"Medium Rating",U481&lt;3,"Low Rating")</f>
        <v>Medium Rating</v>
      </c>
    </row>
    <row r="482" spans="1:22" x14ac:dyDescent="0.3">
      <c r="A482" s="18" t="s">
        <v>360</v>
      </c>
      <c r="B482" s="19">
        <v>46253</v>
      </c>
      <c r="C482" s="20" t="s">
        <v>146</v>
      </c>
      <c r="D482" s="20" t="s">
        <v>147</v>
      </c>
      <c r="E482" s="20" t="s">
        <v>148</v>
      </c>
      <c r="F482" s="20" t="s">
        <v>22</v>
      </c>
      <c r="G482" s="20" t="s">
        <v>149</v>
      </c>
      <c r="H482" s="20" t="s">
        <v>24</v>
      </c>
      <c r="I482" s="20" t="s">
        <v>25</v>
      </c>
      <c r="J482" s="21">
        <v>1</v>
      </c>
      <c r="K482" s="22">
        <v>354.81</v>
      </c>
      <c r="L482" s="21">
        <v>10</v>
      </c>
      <c r="M482" s="22">
        <f t="shared" si="7"/>
        <v>35.481000000000002</v>
      </c>
      <c r="N482" s="22">
        <v>319.33</v>
      </c>
      <c r="O482" s="22">
        <v>220</v>
      </c>
      <c r="P482" s="22">
        <v>99.33</v>
      </c>
      <c r="Q482" s="62" t="str">
        <f>IF(retail_store_performance_dashbo!$P482&gt;0,"Profit",IF(retail_store_performance_dashbo!$P482&lt;0,"Loss","Break Even"))</f>
        <v>Profit</v>
      </c>
      <c r="R482" s="62" t="str" cm="1">
        <f t="array" ref="R482">_xlfn.IFS(L482=0,"No Discount",L482&lt;=5,"Low Discount",L482&lt;=10,"Medium Discount",L482&lt;=20,"High Discount")</f>
        <v>Medium Discount</v>
      </c>
      <c r="S482" s="20" t="s">
        <v>70</v>
      </c>
      <c r="T482" s="20" t="s">
        <v>36</v>
      </c>
      <c r="U482" s="23">
        <v>3.6</v>
      </c>
      <c r="V482" s="75" t="str" cm="1">
        <f t="array" ref="V482">_xlfn.IFS(U482=0,"Not Rated",U482&gt;=4.5,"High Rating",U482&gt;=3,"Medium Rating",U482&lt;3,"Low Rating")</f>
        <v>Medium Rating</v>
      </c>
    </row>
    <row r="483" spans="1:22" x14ac:dyDescent="0.3">
      <c r="A483" s="24" t="s">
        <v>84</v>
      </c>
      <c r="B483" s="25">
        <v>46254</v>
      </c>
      <c r="C483" s="26" t="s">
        <v>61</v>
      </c>
      <c r="D483" s="26" t="s">
        <v>62</v>
      </c>
      <c r="E483" s="26" t="s">
        <v>63</v>
      </c>
      <c r="F483" s="26" t="s">
        <v>22</v>
      </c>
      <c r="G483" s="26" t="s">
        <v>64</v>
      </c>
      <c r="H483" s="26" t="s">
        <v>48</v>
      </c>
      <c r="I483" s="26" t="s">
        <v>56</v>
      </c>
      <c r="J483" s="27">
        <v>1</v>
      </c>
      <c r="K483" s="28">
        <v>96.95</v>
      </c>
      <c r="L483" s="27">
        <v>15</v>
      </c>
      <c r="M483" s="22">
        <f t="shared" si="7"/>
        <v>14.5425</v>
      </c>
      <c r="N483" s="28">
        <v>82.41</v>
      </c>
      <c r="O483" s="28">
        <v>72</v>
      </c>
      <c r="P483" s="28">
        <v>10.41</v>
      </c>
      <c r="Q483" s="72" t="str">
        <f>IF(retail_store_performance_dashbo!$P483&gt;0,"Profit",IF(retail_store_performance_dashbo!$P483&lt;0,"Loss","Break Even"))</f>
        <v>Profit</v>
      </c>
      <c r="R483" s="62" t="str" cm="1">
        <f t="array" ref="R483">_xlfn.IFS(L483=0,"No Discount",L483&lt;=5,"Low Discount",L483&lt;=10,"Medium Discount",L483&lt;=20,"High Discount")</f>
        <v>High Discount</v>
      </c>
      <c r="S483" s="26" t="s">
        <v>67</v>
      </c>
      <c r="T483" s="26" t="s">
        <v>36</v>
      </c>
      <c r="U483" s="29">
        <v>4.8</v>
      </c>
      <c r="V483" s="75" t="str" cm="1">
        <f t="array" ref="V483">_xlfn.IFS(U483=0,"Not Rated",U483&gt;=4.5,"High Rating",U483&gt;=3,"Medium Rating",U483&lt;3,"Low Rating")</f>
        <v>High Rating</v>
      </c>
    </row>
    <row r="484" spans="1:22" x14ac:dyDescent="0.3">
      <c r="A484" s="18" t="s">
        <v>387</v>
      </c>
      <c r="B484" s="19">
        <v>46254</v>
      </c>
      <c r="C484" s="20" t="s">
        <v>77</v>
      </c>
      <c r="D484" s="20" t="s">
        <v>78</v>
      </c>
      <c r="E484" s="20" t="s">
        <v>79</v>
      </c>
      <c r="F484" s="20" t="s">
        <v>80</v>
      </c>
      <c r="G484" s="20" t="s">
        <v>81</v>
      </c>
      <c r="H484" s="20" t="s">
        <v>58</v>
      </c>
      <c r="I484" s="20" t="s">
        <v>82</v>
      </c>
      <c r="J484" s="21">
        <v>5</v>
      </c>
      <c r="K484" s="22">
        <v>2388.7399999999998</v>
      </c>
      <c r="L484" s="21">
        <v>5</v>
      </c>
      <c r="M484" s="22">
        <f t="shared" si="7"/>
        <v>597.18499999999995</v>
      </c>
      <c r="N484" s="22">
        <v>11346.51</v>
      </c>
      <c r="O484" s="22">
        <v>7750</v>
      </c>
      <c r="P484" s="22">
        <v>3596.51</v>
      </c>
      <c r="Q484" s="62" t="str">
        <f>IF(retail_store_performance_dashbo!$P484&gt;0,"Profit",IF(retail_store_performance_dashbo!$P484&lt;0,"Loss","Break Even"))</f>
        <v>Profit</v>
      </c>
      <c r="R484" s="62" t="str" cm="1">
        <f t="array" ref="R484">_xlfn.IFS(L484=0,"No Discount",L484&lt;=5,"Low Discount",L484&lt;=10,"Medium Discount",L484&lt;=20,"High Discount")</f>
        <v>Low Discount</v>
      </c>
      <c r="S484" s="20" t="s">
        <v>67</v>
      </c>
      <c r="T484" s="20" t="s">
        <v>36</v>
      </c>
      <c r="U484" s="23">
        <v>4</v>
      </c>
      <c r="V484" s="75" t="str" cm="1">
        <f t="array" ref="V484">_xlfn.IFS(U484=0,"Not Rated",U484&gt;=4.5,"High Rating",U484&gt;=3,"Medium Rating",U484&lt;3,"Low Rating")</f>
        <v>Medium Rating</v>
      </c>
    </row>
    <row r="485" spans="1:22" x14ac:dyDescent="0.3">
      <c r="A485" s="24" t="s">
        <v>259</v>
      </c>
      <c r="B485" s="25">
        <v>46256</v>
      </c>
      <c r="C485" s="26" t="s">
        <v>97</v>
      </c>
      <c r="D485" s="26" t="s">
        <v>98</v>
      </c>
      <c r="E485" s="26" t="s">
        <v>99</v>
      </c>
      <c r="F485" s="26" t="s">
        <v>54</v>
      </c>
      <c r="G485" s="26" t="s">
        <v>100</v>
      </c>
      <c r="H485" s="26" t="s">
        <v>24</v>
      </c>
      <c r="I485" s="26" t="s">
        <v>34</v>
      </c>
      <c r="J485" s="27">
        <v>3</v>
      </c>
      <c r="K485" s="28">
        <v>1849.72</v>
      </c>
      <c r="L485" s="27">
        <v>10</v>
      </c>
      <c r="M485" s="22">
        <f t="shared" si="7"/>
        <v>554.91599999999994</v>
      </c>
      <c r="N485" s="28">
        <v>4994.24</v>
      </c>
      <c r="O485" s="28">
        <v>3150</v>
      </c>
      <c r="P485" s="28">
        <v>1844.24</v>
      </c>
      <c r="Q485" s="72" t="str">
        <f>IF(retail_store_performance_dashbo!$P485&gt;0,"Profit",IF(retail_store_performance_dashbo!$P485&lt;0,"Loss","Break Even"))</f>
        <v>Profit</v>
      </c>
      <c r="R485" s="62" t="str" cm="1">
        <f t="array" ref="R485">_xlfn.IFS(L485=0,"No Discount",L485&lt;=5,"Low Discount",L485&lt;=10,"Medium Discount",L485&lt;=20,"High Discount")</f>
        <v>Medium Discount</v>
      </c>
      <c r="S485" s="26" t="s">
        <v>67</v>
      </c>
      <c r="T485" s="26" t="s">
        <v>36</v>
      </c>
      <c r="U485" s="29">
        <v>4</v>
      </c>
      <c r="V485" s="75" t="str" cm="1">
        <f t="array" ref="V485">_xlfn.IFS(U485=0,"Not Rated",U485&gt;=4.5,"High Rating",U485&gt;=3,"Medium Rating",U485&lt;3,"Low Rating")</f>
        <v>Medium Rating</v>
      </c>
    </row>
    <row r="486" spans="1:22" x14ac:dyDescent="0.3">
      <c r="A486" s="18" t="s">
        <v>416</v>
      </c>
      <c r="B486" s="19">
        <v>46257</v>
      </c>
      <c r="C486" s="20" t="s">
        <v>19</v>
      </c>
      <c r="D486" s="20" t="s">
        <v>20</v>
      </c>
      <c r="E486" s="20" t="s">
        <v>21</v>
      </c>
      <c r="F486" s="20" t="s">
        <v>22</v>
      </c>
      <c r="G486" s="20" t="s">
        <v>23</v>
      </c>
      <c r="H486" s="20" t="s">
        <v>45</v>
      </c>
      <c r="I486" s="20" t="s">
        <v>101</v>
      </c>
      <c r="J486" s="21">
        <v>3</v>
      </c>
      <c r="K486" s="22">
        <v>1796.13</v>
      </c>
      <c r="L486" s="21">
        <v>20</v>
      </c>
      <c r="M486" s="22">
        <f t="shared" si="7"/>
        <v>1077.6780000000001</v>
      </c>
      <c r="N486" s="22">
        <v>4310.71</v>
      </c>
      <c r="O486" s="22">
        <v>3150</v>
      </c>
      <c r="P486" s="22">
        <v>1160.71</v>
      </c>
      <c r="Q486" s="62" t="str">
        <f>IF(retail_store_performance_dashbo!$P486&gt;0,"Profit",IF(retail_store_performance_dashbo!$P486&lt;0,"Loss","Break Even"))</f>
        <v>Profit</v>
      </c>
      <c r="R486" s="62" t="str" cm="1">
        <f t="array" ref="R486">_xlfn.IFS(L486=0,"No Discount",L486&lt;=5,"Low Discount",L486&lt;=10,"Medium Discount",L486&lt;=20,"High Discount")</f>
        <v>High Discount</v>
      </c>
      <c r="S486" s="20" t="s">
        <v>70</v>
      </c>
      <c r="T486" s="20" t="s">
        <v>36</v>
      </c>
      <c r="U486" s="23">
        <v>3.1</v>
      </c>
      <c r="V486" s="75" t="str" cm="1">
        <f t="array" ref="V486">_xlfn.IFS(U486=0,"Not Rated",U486&gt;=4.5,"High Rating",U486&gt;=3,"Medium Rating",U486&lt;3,"Low Rating")</f>
        <v>Medium Rating</v>
      </c>
    </row>
    <row r="487" spans="1:22" x14ac:dyDescent="0.3">
      <c r="A487" s="24" t="s">
        <v>478</v>
      </c>
      <c r="B487" s="25">
        <v>46257</v>
      </c>
      <c r="C487" s="26" t="s">
        <v>77</v>
      </c>
      <c r="D487" s="26" t="s">
        <v>78</v>
      </c>
      <c r="E487" s="26" t="s">
        <v>79</v>
      </c>
      <c r="F487" s="26" t="s">
        <v>80</v>
      </c>
      <c r="G487" s="26" t="s">
        <v>81</v>
      </c>
      <c r="H487" s="26" t="s">
        <v>24</v>
      </c>
      <c r="I487" s="26" t="s">
        <v>34</v>
      </c>
      <c r="J487" s="27">
        <v>6</v>
      </c>
      <c r="K487" s="28">
        <v>1766.68</v>
      </c>
      <c r="L487" s="27">
        <v>0</v>
      </c>
      <c r="M487" s="22">
        <f t="shared" si="7"/>
        <v>0</v>
      </c>
      <c r="N487" s="28">
        <v>-10600.08</v>
      </c>
      <c r="O487" s="28">
        <v>6300</v>
      </c>
      <c r="P487" s="28">
        <v>-16900.080000000002</v>
      </c>
      <c r="Q487" s="72" t="str">
        <f>IF(retail_store_performance_dashbo!$P487&gt;0,"Profit",IF(retail_store_performance_dashbo!$P487&lt;0,"Loss","Break Even"))</f>
        <v>Loss</v>
      </c>
      <c r="R487" s="62" t="str" cm="1">
        <f t="array" ref="R487">_xlfn.IFS(L487=0,"No Discount",L487&lt;=5,"Low Discount",L487&lt;=10,"Medium Discount",L487&lt;=20,"High Discount")</f>
        <v>No Discount</v>
      </c>
      <c r="S487" s="26" t="s">
        <v>67</v>
      </c>
      <c r="T487" s="26" t="s">
        <v>27</v>
      </c>
      <c r="U487" s="29">
        <v>4.8</v>
      </c>
      <c r="V487" s="75" t="str" cm="1">
        <f t="array" ref="V487">_xlfn.IFS(U487=0,"Not Rated",U487&gt;=4.5,"High Rating",U487&gt;=3,"Medium Rating",U487&lt;3,"Low Rating")</f>
        <v>High Rating</v>
      </c>
    </row>
    <row r="488" spans="1:22" x14ac:dyDescent="0.3">
      <c r="A488" s="18" t="s">
        <v>506</v>
      </c>
      <c r="B488" s="19">
        <v>46257</v>
      </c>
      <c r="C488" s="20" t="s">
        <v>19</v>
      </c>
      <c r="D488" s="20" t="s">
        <v>20</v>
      </c>
      <c r="E488" s="20" t="s">
        <v>21</v>
      </c>
      <c r="F488" s="20" t="s">
        <v>22</v>
      </c>
      <c r="G488" s="20" t="s">
        <v>23</v>
      </c>
      <c r="H488" s="20" t="s">
        <v>41</v>
      </c>
      <c r="I488" s="20" t="s">
        <v>106</v>
      </c>
      <c r="J488" s="21">
        <v>4</v>
      </c>
      <c r="K488" s="22">
        <v>21402.79</v>
      </c>
      <c r="L488" s="21">
        <v>5</v>
      </c>
      <c r="M488" s="22">
        <f t="shared" si="7"/>
        <v>4280.5580000000009</v>
      </c>
      <c r="N488" s="22">
        <v>81330.600000000006</v>
      </c>
      <c r="O488" s="22">
        <v>64000</v>
      </c>
      <c r="P488" s="22">
        <v>17330.599999999999</v>
      </c>
      <c r="Q488" s="62" t="str">
        <f>IF(retail_store_performance_dashbo!$P488&gt;0,"Profit",IF(retail_store_performance_dashbo!$P488&lt;0,"Loss","Break Even"))</f>
        <v>Profit</v>
      </c>
      <c r="R488" s="62" t="str" cm="1">
        <f t="array" ref="R488">_xlfn.IFS(L488=0,"No Discount",L488&lt;=5,"Low Discount",L488&lt;=10,"Medium Discount",L488&lt;=20,"High Discount")</f>
        <v>Low Discount</v>
      </c>
      <c r="S488" s="20" t="s">
        <v>35</v>
      </c>
      <c r="T488" s="20" t="s">
        <v>36</v>
      </c>
      <c r="U488" s="23">
        <v>4.9000000000000004</v>
      </c>
      <c r="V488" s="75" t="str" cm="1">
        <f t="array" ref="V488">_xlfn.IFS(U488=0,"Not Rated",U488&gt;=4.5,"High Rating",U488&gt;=3,"Medium Rating",U488&lt;3,"Low Rating")</f>
        <v>High Rating</v>
      </c>
    </row>
    <row r="489" spans="1:22" x14ac:dyDescent="0.3">
      <c r="A489" s="24" t="s">
        <v>581</v>
      </c>
      <c r="B489" s="25">
        <v>46257</v>
      </c>
      <c r="C489" s="26" t="s">
        <v>77</v>
      </c>
      <c r="D489" s="26" t="s">
        <v>78</v>
      </c>
      <c r="E489" s="26" t="s">
        <v>79</v>
      </c>
      <c r="F489" s="26" t="s">
        <v>80</v>
      </c>
      <c r="G489" s="26" t="s">
        <v>81</v>
      </c>
      <c r="H489" s="26" t="s">
        <v>48</v>
      </c>
      <c r="I489" s="26" t="s">
        <v>113</v>
      </c>
      <c r="J489" s="27">
        <v>1</v>
      </c>
      <c r="K489" s="28">
        <v>153.06</v>
      </c>
      <c r="L489" s="27">
        <v>20</v>
      </c>
      <c r="M489" s="22">
        <f t="shared" si="7"/>
        <v>30.611999999999998</v>
      </c>
      <c r="N489" s="28">
        <v>122.45</v>
      </c>
      <c r="O489" s="28">
        <v>120</v>
      </c>
      <c r="P489" s="28">
        <v>2.4500000000000002</v>
      </c>
      <c r="Q489" s="72" t="str">
        <f>IF(retail_store_performance_dashbo!$P489&gt;0,"Profit",IF(retail_store_performance_dashbo!$P489&lt;0,"Loss","Break Even"))</f>
        <v>Profit</v>
      </c>
      <c r="R489" s="62" t="str" cm="1">
        <f t="array" ref="R489">_xlfn.IFS(L489=0,"No Discount",L489&lt;=5,"Low Discount",L489&lt;=10,"Medium Discount",L489&lt;=20,"High Discount")</f>
        <v>High Discount</v>
      </c>
      <c r="S489" s="26" t="s">
        <v>26</v>
      </c>
      <c r="T489" s="26" t="s">
        <v>36</v>
      </c>
      <c r="U489" s="29">
        <v>3.2</v>
      </c>
      <c r="V489" s="75" t="str" cm="1">
        <f t="array" ref="V489">_xlfn.IFS(U489=0,"Not Rated",U489&gt;=4.5,"High Rating",U489&gt;=3,"Medium Rating",U489&lt;3,"Low Rating")</f>
        <v>Medium Rating</v>
      </c>
    </row>
    <row r="490" spans="1:22" x14ac:dyDescent="0.3">
      <c r="A490" s="18" t="s">
        <v>215</v>
      </c>
      <c r="B490" s="19">
        <v>46258</v>
      </c>
      <c r="C490" s="20" t="s">
        <v>29</v>
      </c>
      <c r="D490" s="20" t="s">
        <v>30</v>
      </c>
      <c r="E490" s="20" t="s">
        <v>31</v>
      </c>
      <c r="F490" s="20" t="s">
        <v>32</v>
      </c>
      <c r="G490" s="20" t="s">
        <v>33</v>
      </c>
      <c r="H490" s="20" t="s">
        <v>45</v>
      </c>
      <c r="I490" s="20" t="s">
        <v>88</v>
      </c>
      <c r="J490" s="21">
        <v>1</v>
      </c>
      <c r="K490" s="22">
        <v>856.85</v>
      </c>
      <c r="L490" s="21">
        <v>20</v>
      </c>
      <c r="M490" s="22">
        <f t="shared" si="7"/>
        <v>171.37</v>
      </c>
      <c r="N490" s="22">
        <v>685.48</v>
      </c>
      <c r="O490" s="22">
        <v>500</v>
      </c>
      <c r="P490" s="22">
        <v>185.48</v>
      </c>
      <c r="Q490" s="62" t="str">
        <f>IF(retail_store_performance_dashbo!$P490&gt;0,"Profit",IF(retail_store_performance_dashbo!$P490&lt;0,"Loss","Break Even"))</f>
        <v>Profit</v>
      </c>
      <c r="R490" s="62" t="str" cm="1">
        <f t="array" ref="R490">_xlfn.IFS(L490=0,"No Discount",L490&lt;=5,"Low Discount",L490&lt;=10,"Medium Discount",L490&lt;=20,"High Discount")</f>
        <v>High Discount</v>
      </c>
      <c r="S490" s="20" t="s">
        <v>43</v>
      </c>
      <c r="T490" s="20" t="s">
        <v>36</v>
      </c>
      <c r="U490" s="23">
        <v>5</v>
      </c>
      <c r="V490" s="75" t="str" cm="1">
        <f t="array" ref="V490">_xlfn.IFS(U490=0,"Not Rated",U490&gt;=4.5,"High Rating",U490&gt;=3,"Medium Rating",U490&lt;3,"Low Rating")</f>
        <v>High Rating</v>
      </c>
    </row>
    <row r="491" spans="1:22" x14ac:dyDescent="0.3">
      <c r="A491" s="24" t="s">
        <v>550</v>
      </c>
      <c r="B491" s="25">
        <v>46258</v>
      </c>
      <c r="C491" s="26" t="s">
        <v>29</v>
      </c>
      <c r="D491" s="26" t="s">
        <v>30</v>
      </c>
      <c r="E491" s="26" t="s">
        <v>31</v>
      </c>
      <c r="F491" s="26" t="s">
        <v>32</v>
      </c>
      <c r="G491" s="26" t="s">
        <v>33</v>
      </c>
      <c r="H491" s="26" t="s">
        <v>45</v>
      </c>
      <c r="I491" s="26" t="s">
        <v>101</v>
      </c>
      <c r="J491" s="27">
        <v>1</v>
      </c>
      <c r="K491" s="28">
        <v>1829.36</v>
      </c>
      <c r="L491" s="27">
        <v>10</v>
      </c>
      <c r="M491" s="22">
        <f t="shared" si="7"/>
        <v>182.93599999999998</v>
      </c>
      <c r="N491" s="28">
        <v>1646.42</v>
      </c>
      <c r="O491" s="28">
        <v>1050</v>
      </c>
      <c r="P491" s="28">
        <v>596.41999999999996</v>
      </c>
      <c r="Q491" s="72" t="str">
        <f>IF(retail_store_performance_dashbo!$P491&gt;0,"Profit",IF(retail_store_performance_dashbo!$P491&lt;0,"Loss","Break Even"))</f>
        <v>Profit</v>
      </c>
      <c r="R491" s="62" t="str" cm="1">
        <f t="array" ref="R491">_xlfn.IFS(L491=0,"No Discount",L491&lt;=5,"Low Discount",L491&lt;=10,"Medium Discount",L491&lt;=20,"High Discount")</f>
        <v>Medium Discount</v>
      </c>
      <c r="S491" s="26" t="s">
        <v>43</v>
      </c>
      <c r="T491" s="26" t="s">
        <v>36</v>
      </c>
      <c r="U491" s="29">
        <v>3.9</v>
      </c>
      <c r="V491" s="75" t="str" cm="1">
        <f t="array" ref="V491">_xlfn.IFS(U491=0,"Not Rated",U491&gt;=4.5,"High Rating",U491&gt;=3,"Medium Rating",U491&lt;3,"Low Rating")</f>
        <v>Medium Rating</v>
      </c>
    </row>
    <row r="492" spans="1:22" x14ac:dyDescent="0.3">
      <c r="A492" s="18" t="s">
        <v>337</v>
      </c>
      <c r="B492" s="19">
        <v>46259</v>
      </c>
      <c r="C492" s="20" t="s">
        <v>77</v>
      </c>
      <c r="D492" s="20" t="s">
        <v>78</v>
      </c>
      <c r="E492" s="20" t="s">
        <v>79</v>
      </c>
      <c r="F492" s="20" t="s">
        <v>80</v>
      </c>
      <c r="G492" s="20" t="s">
        <v>81</v>
      </c>
      <c r="H492" s="20" t="s">
        <v>45</v>
      </c>
      <c r="I492" s="20" t="s">
        <v>124</v>
      </c>
      <c r="J492" s="21">
        <v>6</v>
      </c>
      <c r="K492" s="22">
        <v>4001.88</v>
      </c>
      <c r="L492" s="21">
        <v>10</v>
      </c>
      <c r="M492" s="22">
        <f t="shared" si="7"/>
        <v>2401.1279999999997</v>
      </c>
      <c r="N492" s="22">
        <v>21610.15</v>
      </c>
      <c r="O492" s="22">
        <v>15600</v>
      </c>
      <c r="P492" s="22">
        <v>6010.15</v>
      </c>
      <c r="Q492" s="62" t="str">
        <f>IF(retail_store_performance_dashbo!$P492&gt;0,"Profit",IF(retail_store_performance_dashbo!$P492&lt;0,"Loss","Break Even"))</f>
        <v>Profit</v>
      </c>
      <c r="R492" s="62" t="str" cm="1">
        <f t="array" ref="R492">_xlfn.IFS(L492=0,"No Discount",L492&lt;=5,"Low Discount",L492&lt;=10,"Medium Discount",L492&lt;=20,"High Discount")</f>
        <v>Medium Discount</v>
      </c>
      <c r="S492" s="20" t="s">
        <v>35</v>
      </c>
      <c r="T492" s="20" t="s">
        <v>36</v>
      </c>
      <c r="U492" s="23">
        <v>3.9</v>
      </c>
      <c r="V492" s="75" t="str" cm="1">
        <f t="array" ref="V492">_xlfn.IFS(U492=0,"Not Rated",U492&gt;=4.5,"High Rating",U492&gt;=3,"Medium Rating",U492&lt;3,"Low Rating")</f>
        <v>Medium Rating</v>
      </c>
    </row>
    <row r="493" spans="1:22" x14ac:dyDescent="0.3">
      <c r="A493" s="24" t="s">
        <v>497</v>
      </c>
      <c r="B493" s="25">
        <v>46259</v>
      </c>
      <c r="C493" s="26" t="s">
        <v>29</v>
      </c>
      <c r="D493" s="26" t="s">
        <v>30</v>
      </c>
      <c r="E493" s="26" t="s">
        <v>31</v>
      </c>
      <c r="F493" s="26" t="s">
        <v>32</v>
      </c>
      <c r="G493" s="26" t="s">
        <v>33</v>
      </c>
      <c r="H493" s="26" t="s">
        <v>41</v>
      </c>
      <c r="I493" s="26" t="s">
        <v>135</v>
      </c>
      <c r="J493" s="27">
        <v>5</v>
      </c>
      <c r="K493" s="28">
        <v>1772.17</v>
      </c>
      <c r="L493" s="27">
        <v>5</v>
      </c>
      <c r="M493" s="22">
        <f t="shared" si="7"/>
        <v>443.04250000000002</v>
      </c>
      <c r="N493" s="28">
        <v>8417.81</v>
      </c>
      <c r="O493" s="28">
        <v>5500</v>
      </c>
      <c r="P493" s="28">
        <v>2917.81</v>
      </c>
      <c r="Q493" s="72" t="str">
        <f>IF(retail_store_performance_dashbo!$P493&gt;0,"Profit",IF(retail_store_performance_dashbo!$P493&lt;0,"Loss","Break Even"))</f>
        <v>Profit</v>
      </c>
      <c r="R493" s="62" t="str" cm="1">
        <f t="array" ref="R493">_xlfn.IFS(L493=0,"No Discount",L493&lt;=5,"Low Discount",L493&lt;=10,"Medium Discount",L493&lt;=20,"High Discount")</f>
        <v>Low Discount</v>
      </c>
      <c r="S493" s="26" t="s">
        <v>35</v>
      </c>
      <c r="T493" s="26" t="s">
        <v>36</v>
      </c>
      <c r="U493" s="29">
        <v>4</v>
      </c>
      <c r="V493" s="75" t="str" cm="1">
        <f t="array" ref="V493">_xlfn.IFS(U493=0,"Not Rated",U493&gt;=4.5,"High Rating",U493&gt;=3,"Medium Rating",U493&lt;3,"Low Rating")</f>
        <v>Medium Rating</v>
      </c>
    </row>
    <row r="494" spans="1:22" x14ac:dyDescent="0.3">
      <c r="A494" s="18" t="s">
        <v>420</v>
      </c>
      <c r="B494" s="19">
        <v>46260</v>
      </c>
      <c r="C494" s="20" t="s">
        <v>61</v>
      </c>
      <c r="D494" s="20" t="s">
        <v>62</v>
      </c>
      <c r="E494" s="20" t="s">
        <v>63</v>
      </c>
      <c r="F494" s="20" t="s">
        <v>22</v>
      </c>
      <c r="G494" s="20" t="s">
        <v>64</v>
      </c>
      <c r="H494" s="20" t="s">
        <v>58</v>
      </c>
      <c r="I494" s="20" t="s">
        <v>69</v>
      </c>
      <c r="J494" s="21">
        <v>1</v>
      </c>
      <c r="K494" s="22">
        <v>673.85</v>
      </c>
      <c r="L494" s="21">
        <v>5</v>
      </c>
      <c r="M494" s="22">
        <f t="shared" si="7"/>
        <v>33.692500000000003</v>
      </c>
      <c r="N494" s="22">
        <v>640.16</v>
      </c>
      <c r="O494" s="22">
        <v>400</v>
      </c>
      <c r="P494" s="22">
        <v>240.16</v>
      </c>
      <c r="Q494" s="62" t="str">
        <f>IF(retail_store_performance_dashbo!$P494&gt;0,"Profit",IF(retail_store_performance_dashbo!$P494&lt;0,"Loss","Break Even"))</f>
        <v>Profit</v>
      </c>
      <c r="R494" s="62" t="str" cm="1">
        <f t="array" ref="R494">_xlfn.IFS(L494=0,"No Discount",L494&lt;=5,"Low Discount",L494&lt;=10,"Medium Discount",L494&lt;=20,"High Discount")</f>
        <v>Low Discount</v>
      </c>
      <c r="S494" s="20" t="s">
        <v>26</v>
      </c>
      <c r="T494" s="20" t="s">
        <v>36</v>
      </c>
      <c r="U494" s="23">
        <v>3.9</v>
      </c>
      <c r="V494" s="75" t="str" cm="1">
        <f t="array" ref="V494">_xlfn.IFS(U494=0,"Not Rated",U494&gt;=4.5,"High Rating",U494&gt;=3,"Medium Rating",U494&lt;3,"Low Rating")</f>
        <v>Medium Rating</v>
      </c>
    </row>
    <row r="495" spans="1:22" x14ac:dyDescent="0.3">
      <c r="A495" s="24" t="s">
        <v>187</v>
      </c>
      <c r="B495" s="25">
        <v>46261</v>
      </c>
      <c r="C495" s="26" t="s">
        <v>146</v>
      </c>
      <c r="D495" s="26" t="s">
        <v>147</v>
      </c>
      <c r="E495" s="26" t="s">
        <v>148</v>
      </c>
      <c r="F495" s="26" t="s">
        <v>22</v>
      </c>
      <c r="G495" s="26" t="s">
        <v>149</v>
      </c>
      <c r="H495" s="26" t="s">
        <v>58</v>
      </c>
      <c r="I495" s="26" t="s">
        <v>69</v>
      </c>
      <c r="J495" s="27">
        <v>1</v>
      </c>
      <c r="K495" s="28">
        <v>685.39</v>
      </c>
      <c r="L495" s="27">
        <v>5</v>
      </c>
      <c r="M495" s="22">
        <f t="shared" si="7"/>
        <v>34.269500000000001</v>
      </c>
      <c r="N495" s="28">
        <v>651.12</v>
      </c>
      <c r="O495" s="28">
        <v>400</v>
      </c>
      <c r="P495" s="28">
        <v>251.12</v>
      </c>
      <c r="Q495" s="72" t="str">
        <f>IF(retail_store_performance_dashbo!$P495&gt;0,"Profit",IF(retail_store_performance_dashbo!$P495&lt;0,"Loss","Break Even"))</f>
        <v>Profit</v>
      </c>
      <c r="R495" s="62" t="str" cm="1">
        <f t="array" ref="R495">_xlfn.IFS(L495=0,"No Discount",L495&lt;=5,"Low Discount",L495&lt;=10,"Medium Discount",L495&lt;=20,"High Discount")</f>
        <v>Low Discount</v>
      </c>
      <c r="S495" s="26" t="s">
        <v>67</v>
      </c>
      <c r="T495" s="26" t="s">
        <v>36</v>
      </c>
      <c r="U495" s="29">
        <v>3.6</v>
      </c>
      <c r="V495" s="75" t="str" cm="1">
        <f t="array" ref="V495">_xlfn.IFS(U495=0,"Not Rated",U495&gt;=4.5,"High Rating",U495&gt;=3,"Medium Rating",U495&lt;3,"Low Rating")</f>
        <v>Medium Rating</v>
      </c>
    </row>
    <row r="496" spans="1:22" x14ac:dyDescent="0.3">
      <c r="A496" s="18" t="s">
        <v>197</v>
      </c>
      <c r="B496" s="19">
        <v>46261</v>
      </c>
      <c r="C496" s="20" t="s">
        <v>61</v>
      </c>
      <c r="D496" s="20" t="s">
        <v>62</v>
      </c>
      <c r="E496" s="20" t="s">
        <v>63</v>
      </c>
      <c r="F496" s="20" t="s">
        <v>22</v>
      </c>
      <c r="G496" s="20" t="s">
        <v>64</v>
      </c>
      <c r="H496" s="20" t="s">
        <v>41</v>
      </c>
      <c r="I496" s="20" t="s">
        <v>42</v>
      </c>
      <c r="J496" s="21">
        <v>1</v>
      </c>
      <c r="K496" s="22">
        <v>4332.2299999999996</v>
      </c>
      <c r="L496" s="21">
        <v>10</v>
      </c>
      <c r="M496" s="22">
        <f t="shared" si="7"/>
        <v>433.22299999999996</v>
      </c>
      <c r="N496" s="22">
        <v>3899.01</v>
      </c>
      <c r="O496" s="22">
        <v>2900</v>
      </c>
      <c r="P496" s="22">
        <v>999.01</v>
      </c>
      <c r="Q496" s="62" t="str">
        <f>IF(retail_store_performance_dashbo!$P496&gt;0,"Profit",IF(retail_store_performance_dashbo!$P496&lt;0,"Loss","Break Even"))</f>
        <v>Profit</v>
      </c>
      <c r="R496" s="62" t="str" cm="1">
        <f t="array" ref="R496">_xlfn.IFS(L496=0,"No Discount",L496&lt;=5,"Low Discount",L496&lt;=10,"Medium Discount",L496&lt;=20,"High Discount")</f>
        <v>Medium Discount</v>
      </c>
      <c r="S496" s="20" t="s">
        <v>67</v>
      </c>
      <c r="T496" s="20" t="s">
        <v>36</v>
      </c>
      <c r="U496" s="23">
        <v>4.9000000000000004</v>
      </c>
      <c r="V496" s="75" t="str" cm="1">
        <f t="array" ref="V496">_xlfn.IFS(U496=0,"Not Rated",U496&gt;=4.5,"High Rating",U496&gt;=3,"Medium Rating",U496&lt;3,"Low Rating")</f>
        <v>High Rating</v>
      </c>
    </row>
    <row r="497" spans="1:22" x14ac:dyDescent="0.3">
      <c r="A497" s="24" t="s">
        <v>255</v>
      </c>
      <c r="B497" s="25">
        <v>46261</v>
      </c>
      <c r="C497" s="26" t="s">
        <v>77</v>
      </c>
      <c r="D497" s="26" t="s">
        <v>78</v>
      </c>
      <c r="E497" s="26" t="s">
        <v>79</v>
      </c>
      <c r="F497" s="26" t="s">
        <v>80</v>
      </c>
      <c r="G497" s="26" t="s">
        <v>81</v>
      </c>
      <c r="H497" s="26" t="s">
        <v>24</v>
      </c>
      <c r="I497" s="26" t="s">
        <v>66</v>
      </c>
      <c r="J497" s="27">
        <v>4</v>
      </c>
      <c r="K497" s="28">
        <v>548.16</v>
      </c>
      <c r="L497" s="27">
        <v>20</v>
      </c>
      <c r="M497" s="22">
        <f t="shared" si="7"/>
        <v>438.52799999999996</v>
      </c>
      <c r="N497" s="28">
        <v>1754.11</v>
      </c>
      <c r="O497" s="28">
        <v>1360</v>
      </c>
      <c r="P497" s="28">
        <v>394.11</v>
      </c>
      <c r="Q497" s="72" t="str">
        <f>IF(retail_store_performance_dashbo!$P497&gt;0,"Profit",IF(retail_store_performance_dashbo!$P497&lt;0,"Loss","Break Even"))</f>
        <v>Profit</v>
      </c>
      <c r="R497" s="62" t="str" cm="1">
        <f t="array" ref="R497">_xlfn.IFS(L497=0,"No Discount",L497&lt;=5,"Low Discount",L497&lt;=10,"Medium Discount",L497&lt;=20,"High Discount")</f>
        <v>High Discount</v>
      </c>
      <c r="S497" s="26" t="s">
        <v>70</v>
      </c>
      <c r="T497" s="26" t="s">
        <v>36</v>
      </c>
      <c r="U497" s="29">
        <v>3.5</v>
      </c>
      <c r="V497" s="75" t="str" cm="1">
        <f t="array" ref="V497">_xlfn.IFS(U497=0,"Not Rated",U497&gt;=4.5,"High Rating",U497&gt;=3,"Medium Rating",U497&lt;3,"Low Rating")</f>
        <v>Medium Rating</v>
      </c>
    </row>
    <row r="498" spans="1:22" x14ac:dyDescent="0.3">
      <c r="A498" s="18" t="s">
        <v>359</v>
      </c>
      <c r="B498" s="19">
        <v>46261</v>
      </c>
      <c r="C498" s="20" t="s">
        <v>146</v>
      </c>
      <c r="D498" s="20" t="s">
        <v>147</v>
      </c>
      <c r="E498" s="20" t="s">
        <v>148</v>
      </c>
      <c r="F498" s="20" t="s">
        <v>22</v>
      </c>
      <c r="G498" s="20" t="s">
        <v>149</v>
      </c>
      <c r="H498" s="20" t="s">
        <v>41</v>
      </c>
      <c r="I498" s="20" t="s">
        <v>42</v>
      </c>
      <c r="J498" s="21">
        <v>3</v>
      </c>
      <c r="K498" s="22">
        <v>4648.34</v>
      </c>
      <c r="L498" s="21">
        <v>5</v>
      </c>
      <c r="M498" s="22">
        <f t="shared" si="7"/>
        <v>697.25100000000009</v>
      </c>
      <c r="N498" s="22">
        <v>13247.77</v>
      </c>
      <c r="O498" s="22">
        <v>8700</v>
      </c>
      <c r="P498" s="22">
        <v>4547.7700000000004</v>
      </c>
      <c r="Q498" s="62" t="str">
        <f>IF(retail_store_performance_dashbo!$P498&gt;0,"Profit",IF(retail_store_performance_dashbo!$P498&lt;0,"Loss","Break Even"))</f>
        <v>Profit</v>
      </c>
      <c r="R498" s="62" t="str" cm="1">
        <f t="array" ref="R498">_xlfn.IFS(L498=0,"No Discount",L498&lt;=5,"Low Discount",L498&lt;=10,"Medium Discount",L498&lt;=20,"High Discount")</f>
        <v>Low Discount</v>
      </c>
      <c r="S498" s="20" t="s">
        <v>26</v>
      </c>
      <c r="T498" s="20" t="s">
        <v>36</v>
      </c>
      <c r="U498" s="23">
        <v>3.2</v>
      </c>
      <c r="V498" s="75" t="str" cm="1">
        <f t="array" ref="V498">_xlfn.IFS(U498=0,"Not Rated",U498&gt;=4.5,"High Rating",U498&gt;=3,"Medium Rating",U498&lt;3,"Low Rating")</f>
        <v>Medium Rating</v>
      </c>
    </row>
    <row r="499" spans="1:22" x14ac:dyDescent="0.3">
      <c r="A499" s="24" t="s">
        <v>486</v>
      </c>
      <c r="B499" s="25">
        <v>46261</v>
      </c>
      <c r="C499" s="26" t="s">
        <v>29</v>
      </c>
      <c r="D499" s="26" t="s">
        <v>30</v>
      </c>
      <c r="E499" s="26" t="s">
        <v>31</v>
      </c>
      <c r="F499" s="26" t="s">
        <v>32</v>
      </c>
      <c r="G499" s="26" t="s">
        <v>33</v>
      </c>
      <c r="H499" s="26" t="s">
        <v>41</v>
      </c>
      <c r="I499" s="26" t="s">
        <v>106</v>
      </c>
      <c r="J499" s="27">
        <v>4</v>
      </c>
      <c r="K499" s="28">
        <v>22979.32</v>
      </c>
      <c r="L499" s="27">
        <v>0</v>
      </c>
      <c r="M499" s="22">
        <f t="shared" si="7"/>
        <v>0</v>
      </c>
      <c r="N499" s="28">
        <v>0</v>
      </c>
      <c r="O499" s="28">
        <v>64000</v>
      </c>
      <c r="P499" s="28">
        <v>0</v>
      </c>
      <c r="Q499" s="72" t="str">
        <f>IF(retail_store_performance_dashbo!$P499&gt;0,"Profit",IF(retail_store_performance_dashbo!$P499&lt;0,"Loss","Break Even"))</f>
        <v>Break Even</v>
      </c>
      <c r="R499" s="62" t="str" cm="1">
        <f t="array" ref="R499">_xlfn.IFS(L499=0,"No Discount",L499&lt;=5,"Low Discount",L499&lt;=10,"Medium Discount",L499&lt;=20,"High Discount")</f>
        <v>No Discount</v>
      </c>
      <c r="S499" s="26" t="s">
        <v>43</v>
      </c>
      <c r="T499" s="26" t="s">
        <v>83</v>
      </c>
      <c r="U499" s="29">
        <v>0</v>
      </c>
      <c r="V499" s="75" t="str" cm="1">
        <f t="array" ref="V499">_xlfn.IFS(U499=0,"Not Rated",U499&gt;=4.5,"High Rating",U499&gt;=3,"Medium Rating",U499&lt;3,"Low Rating")</f>
        <v>Not Rated</v>
      </c>
    </row>
    <row r="500" spans="1:22" x14ac:dyDescent="0.3">
      <c r="A500" s="18" t="s">
        <v>504</v>
      </c>
      <c r="B500" s="19">
        <v>46261</v>
      </c>
      <c r="C500" s="20" t="s">
        <v>29</v>
      </c>
      <c r="D500" s="20" t="s">
        <v>30</v>
      </c>
      <c r="E500" s="20" t="s">
        <v>31</v>
      </c>
      <c r="F500" s="20" t="s">
        <v>32</v>
      </c>
      <c r="G500" s="20" t="s">
        <v>33</v>
      </c>
      <c r="H500" s="20" t="s">
        <v>24</v>
      </c>
      <c r="I500" s="20" t="s">
        <v>25</v>
      </c>
      <c r="J500" s="21">
        <v>4</v>
      </c>
      <c r="K500" s="22">
        <v>348.91</v>
      </c>
      <c r="L500" s="21">
        <v>5</v>
      </c>
      <c r="M500" s="22">
        <f t="shared" si="7"/>
        <v>69.782000000000011</v>
      </c>
      <c r="N500" s="22">
        <v>1325.86</v>
      </c>
      <c r="O500" s="22">
        <v>880</v>
      </c>
      <c r="P500" s="22">
        <v>445.86</v>
      </c>
      <c r="Q500" s="62" t="str">
        <f>IF(retail_store_performance_dashbo!$P500&gt;0,"Profit",IF(retail_store_performance_dashbo!$P500&lt;0,"Loss","Break Even"))</f>
        <v>Profit</v>
      </c>
      <c r="R500" s="62" t="str" cm="1">
        <f t="array" ref="R500">_xlfn.IFS(L500=0,"No Discount",L500&lt;=5,"Low Discount",L500&lt;=10,"Medium Discount",L500&lt;=20,"High Discount")</f>
        <v>Low Discount</v>
      </c>
      <c r="S500" s="20" t="s">
        <v>35</v>
      </c>
      <c r="T500" s="20" t="s">
        <v>36</v>
      </c>
      <c r="U500" s="23">
        <v>3.8</v>
      </c>
      <c r="V500" s="75" t="str" cm="1">
        <f t="array" ref="V500">_xlfn.IFS(U500=0,"Not Rated",U500&gt;=4.5,"High Rating",U500&gt;=3,"Medium Rating",U500&lt;3,"Low Rating")</f>
        <v>Medium Rating</v>
      </c>
    </row>
    <row r="501" spans="1:22" ht="15" thickBot="1" x14ac:dyDescent="0.35">
      <c r="A501" s="30" t="s">
        <v>561</v>
      </c>
      <c r="B501" s="31">
        <v>46262</v>
      </c>
      <c r="C501" s="32" t="s">
        <v>146</v>
      </c>
      <c r="D501" s="32" t="s">
        <v>147</v>
      </c>
      <c r="E501" s="32" t="s">
        <v>148</v>
      </c>
      <c r="F501" s="32" t="s">
        <v>22</v>
      </c>
      <c r="G501" s="32" t="s">
        <v>149</v>
      </c>
      <c r="H501" s="32" t="s">
        <v>45</v>
      </c>
      <c r="I501" s="32" t="s">
        <v>46</v>
      </c>
      <c r="J501" s="33">
        <v>4</v>
      </c>
      <c r="K501" s="34">
        <v>3121.79</v>
      </c>
      <c r="L501" s="33">
        <v>5</v>
      </c>
      <c r="M501" s="35">
        <f t="shared" si="7"/>
        <v>624.35800000000006</v>
      </c>
      <c r="N501" s="34">
        <v>-11862.8</v>
      </c>
      <c r="O501" s="34">
        <v>7600</v>
      </c>
      <c r="P501" s="34">
        <v>-19462.8</v>
      </c>
      <c r="Q501" s="73" t="str">
        <f>IF(retail_store_performance_dashbo!$P501&gt;0,"Profit",IF(retail_store_performance_dashbo!$P501&lt;0,"Loss","Break Even"))</f>
        <v>Loss</v>
      </c>
      <c r="R501" s="63" t="str" cm="1">
        <f t="array" ref="R501">_xlfn.IFS(L501=0,"No Discount",L501&lt;=5,"Low Discount",L501&lt;=10,"Medium Discount",L501&lt;=20,"High Discount")</f>
        <v>Low Discount</v>
      </c>
      <c r="S501" s="32" t="s">
        <v>26</v>
      </c>
      <c r="T501" s="32" t="s">
        <v>27</v>
      </c>
      <c r="U501" s="36">
        <v>3.1</v>
      </c>
      <c r="V501" s="75" t="str" cm="1">
        <f t="array" ref="V501">_xlfn.IFS(U501=0,"Not Rated",U501&gt;=4.5,"High Rating",U501&gt;=3,"Medium Rating",U501&lt;3,"Low Rating")</f>
        <v>Medium Rating</v>
      </c>
    </row>
  </sheetData>
  <conditionalFormatting sqref="L1:L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{A888FE88-F579-4136-B6EB-D7A25DAC0FA9}</x14:id>
        </ext>
      </extLst>
    </cfRule>
  </conditionalFormatting>
  <conditionalFormatting sqref="Q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501">
    <cfRule type="containsText" dxfId="3" priority="10" operator="containsText" text="break even">
      <formula>NOT(ISERROR(SEARCH("break even",Q2)))</formula>
    </cfRule>
    <cfRule type="containsText" dxfId="2" priority="11" operator="containsText" text="loss">
      <formula>NOT(ISERROR(SEARCH("loss",Q2)))</formula>
    </cfRule>
    <cfRule type="containsText" dxfId="1" priority="12" operator="containsText" text="profit">
      <formula>NOT(ISERROR(SEARCH("profit",Q2)))</formula>
    </cfRule>
  </conditionalFormatting>
  <conditionalFormatting sqref="Q502:Q1048576 Q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:T1048576">
    <cfRule type="containsText" dxfId="0" priority="1" operator="containsText" text="completed">
      <formula>NOT(ISERROR(SEARCH("completed",T1)))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88FE88-F579-4136-B6EB-D7A25DAC0F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iconSet" priority="2" id="{6764F3CF-A29F-4435-9047-85E23BB5FAC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0.01</xm:f>
              </x14:cfvo>
            </x14:iconSet>
          </x14:cfRule>
          <xm:sqref>N1:N1048576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AE20-FD08-4613-B8BE-FE145BDC8267}">
  <dimension ref="A1:E15"/>
  <sheetViews>
    <sheetView workbookViewId="0">
      <selection activeCell="F21" sqref="F21"/>
    </sheetView>
  </sheetViews>
  <sheetFormatPr defaultRowHeight="14.4" x14ac:dyDescent="0.3"/>
  <cols>
    <col min="1" max="1" width="18.77734375" customWidth="1"/>
    <col min="2" max="2" width="22.77734375" customWidth="1"/>
    <col min="4" max="4" width="20" customWidth="1"/>
    <col min="5" max="5" width="21.44140625" customWidth="1"/>
  </cols>
  <sheetData>
    <row r="1" spans="1:5" ht="30" customHeight="1" x14ac:dyDescent="0.3">
      <c r="A1" s="69" t="s">
        <v>12</v>
      </c>
      <c r="B1" s="69"/>
      <c r="D1" s="70" t="s">
        <v>14</v>
      </c>
      <c r="E1" s="71"/>
    </row>
    <row r="2" spans="1:5" x14ac:dyDescent="0.3">
      <c r="A2" s="60"/>
      <c r="B2" s="60"/>
      <c r="D2" s="65"/>
      <c r="E2" s="66"/>
    </row>
    <row r="3" spans="1:5" x14ac:dyDescent="0.3">
      <c r="A3" s="60" t="s">
        <v>605</v>
      </c>
      <c r="B3" s="60">
        <v>14086.278280000002</v>
      </c>
      <c r="D3" s="65" t="s">
        <v>605</v>
      </c>
      <c r="E3" s="66">
        <v>1626.1822799999991</v>
      </c>
    </row>
    <row r="4" spans="1:5" x14ac:dyDescent="0.3">
      <c r="A4" s="60" t="s">
        <v>606</v>
      </c>
      <c r="B4" s="60">
        <v>2001.9183584400457</v>
      </c>
      <c r="D4" s="65" t="s">
        <v>606</v>
      </c>
      <c r="E4" s="66">
        <v>562.45957343864825</v>
      </c>
    </row>
    <row r="5" spans="1:5" x14ac:dyDescent="0.3">
      <c r="A5" s="60" t="s">
        <v>607</v>
      </c>
      <c r="B5" s="60">
        <v>2520.63</v>
      </c>
      <c r="D5" s="65" t="s">
        <v>607</v>
      </c>
      <c r="E5" s="66">
        <v>749.77500000000009</v>
      </c>
    </row>
    <row r="6" spans="1:5" x14ac:dyDescent="0.3">
      <c r="A6" s="60" t="s">
        <v>608</v>
      </c>
      <c r="B6" s="60">
        <v>0</v>
      </c>
      <c r="D6" s="65" t="s">
        <v>608</v>
      </c>
      <c r="E6" s="66">
        <v>0</v>
      </c>
    </row>
    <row r="7" spans="1:5" x14ac:dyDescent="0.3">
      <c r="A7" s="60" t="s">
        <v>609</v>
      </c>
      <c r="B7" s="60">
        <v>44764.255348767321</v>
      </c>
      <c r="D7" s="65" t="s">
        <v>609</v>
      </c>
      <c r="E7" s="66">
        <v>12576.978408043527</v>
      </c>
    </row>
    <row r="8" spans="1:5" x14ac:dyDescent="0.3">
      <c r="A8" s="60" t="s">
        <v>610</v>
      </c>
      <c r="B8" s="60">
        <v>2003838556.9296439</v>
      </c>
      <c r="D8" s="65" t="s">
        <v>610</v>
      </c>
      <c r="E8" s="66">
        <v>158180385.87639311</v>
      </c>
    </row>
    <row r="9" spans="1:5" x14ac:dyDescent="0.3">
      <c r="A9" s="60" t="s">
        <v>611</v>
      </c>
      <c r="B9" s="60">
        <v>24.545418416605248</v>
      </c>
      <c r="D9" s="65" t="s">
        <v>611</v>
      </c>
      <c r="E9" s="66">
        <v>111.97848760481561</v>
      </c>
    </row>
    <row r="10" spans="1:5" x14ac:dyDescent="0.3">
      <c r="A10" s="60" t="s">
        <v>612</v>
      </c>
      <c r="B10" s="60">
        <v>4.7501430073128326</v>
      </c>
      <c r="D10" s="65" t="s">
        <v>612</v>
      </c>
      <c r="E10" s="66">
        <v>-6.1356830033604277</v>
      </c>
    </row>
    <row r="11" spans="1:5" x14ac:dyDescent="0.3">
      <c r="A11" s="60" t="s">
        <v>613</v>
      </c>
      <c r="B11" s="60">
        <v>432387.52</v>
      </c>
      <c r="D11" s="65" t="s">
        <v>613</v>
      </c>
      <c r="E11" s="66">
        <v>260387.52</v>
      </c>
    </row>
    <row r="12" spans="1:5" x14ac:dyDescent="0.3">
      <c r="A12" s="60" t="s">
        <v>614</v>
      </c>
      <c r="B12" s="60">
        <v>-109213.9</v>
      </c>
      <c r="D12" s="65" t="s">
        <v>614</v>
      </c>
      <c r="E12" s="66">
        <v>-189213.9</v>
      </c>
    </row>
    <row r="13" spans="1:5" x14ac:dyDescent="0.3">
      <c r="A13" s="60" t="s">
        <v>615</v>
      </c>
      <c r="B13" s="60">
        <v>323173.62</v>
      </c>
      <c r="D13" s="65" t="s">
        <v>615</v>
      </c>
      <c r="E13" s="66">
        <v>71173.62</v>
      </c>
    </row>
    <row r="14" spans="1:5" x14ac:dyDescent="0.3">
      <c r="A14" s="60" t="s">
        <v>616</v>
      </c>
      <c r="B14" s="60">
        <v>7043139.1400000015</v>
      </c>
      <c r="D14" s="65" t="s">
        <v>616</v>
      </c>
      <c r="E14" s="66">
        <v>813091.13999999955</v>
      </c>
    </row>
    <row r="15" spans="1:5" ht="15" thickBot="1" x14ac:dyDescent="0.35">
      <c r="A15" s="60" t="s">
        <v>617</v>
      </c>
      <c r="B15" s="60">
        <v>500</v>
      </c>
      <c r="D15" s="67" t="s">
        <v>617</v>
      </c>
      <c r="E15" s="68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DA29-C68D-43DD-A2B2-E928120167E8}">
  <dimension ref="A1:N46"/>
  <sheetViews>
    <sheetView topLeftCell="A19" workbookViewId="0">
      <selection activeCell="C19" sqref="C19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3.21875" bestFit="1" customWidth="1"/>
    <col min="4" max="4" width="12.88671875" bestFit="1" customWidth="1"/>
    <col min="5" max="5" width="17.5546875" bestFit="1" customWidth="1"/>
    <col min="6" max="6" width="16.44140625" bestFit="1" customWidth="1"/>
    <col min="7" max="7" width="13.21875" bestFit="1" customWidth="1"/>
    <col min="8" max="8" width="12.109375" bestFit="1" customWidth="1"/>
    <col min="10" max="10" width="12.5546875" bestFit="1" customWidth="1"/>
    <col min="11" max="11" width="16.44140625" bestFit="1" customWidth="1"/>
    <col min="12" max="12" width="13.21875" bestFit="1" customWidth="1"/>
    <col min="13" max="13" width="14.6640625" customWidth="1"/>
  </cols>
  <sheetData>
    <row r="1" spans="1:13" x14ac:dyDescent="0.3">
      <c r="A1" s="37" t="s">
        <v>594</v>
      </c>
      <c r="B1" s="38"/>
      <c r="C1" s="38"/>
      <c r="J1" s="39" t="s">
        <v>600</v>
      </c>
      <c r="K1" s="40"/>
      <c r="L1" s="40"/>
      <c r="M1" s="40"/>
    </row>
    <row r="2" spans="1:13" x14ac:dyDescent="0.3">
      <c r="A2" s="38"/>
      <c r="B2" s="38"/>
      <c r="C2" s="38"/>
      <c r="J2" s="40"/>
      <c r="K2" s="40"/>
      <c r="L2" s="40"/>
      <c r="M2" s="40"/>
    </row>
    <row r="3" spans="1:13" x14ac:dyDescent="0.3">
      <c r="A3" s="7" t="s">
        <v>593</v>
      </c>
      <c r="B3" s="2" t="s">
        <v>591</v>
      </c>
      <c r="C3" s="2" t="s">
        <v>592</v>
      </c>
      <c r="J3" s="7" t="s">
        <v>7</v>
      </c>
      <c r="K3" s="2" t="s">
        <v>598</v>
      </c>
      <c r="L3" s="2" t="s">
        <v>591</v>
      </c>
      <c r="M3" s="2" t="s">
        <v>599</v>
      </c>
    </row>
    <row r="4" spans="1:13" x14ac:dyDescent="0.3">
      <c r="A4" s="8" t="s">
        <v>24</v>
      </c>
      <c r="B4" s="3">
        <v>199315.58000000005</v>
      </c>
      <c r="C4" s="3">
        <v>13945.580000000013</v>
      </c>
      <c r="J4" s="8" t="s">
        <v>24</v>
      </c>
      <c r="K4" s="6">
        <v>420</v>
      </c>
      <c r="L4" s="3">
        <v>199315.58000000005</v>
      </c>
      <c r="M4" s="3">
        <v>194830</v>
      </c>
    </row>
    <row r="5" spans="1:13" x14ac:dyDescent="0.3">
      <c r="A5" s="8" t="s">
        <v>45</v>
      </c>
      <c r="B5" s="3">
        <v>553022.52000000014</v>
      </c>
      <c r="C5" s="3">
        <v>76772.520000000019</v>
      </c>
      <c r="J5" s="8" t="s">
        <v>45</v>
      </c>
      <c r="K5" s="6">
        <v>341</v>
      </c>
      <c r="L5" s="3">
        <v>553022.52000000014</v>
      </c>
      <c r="M5" s="3">
        <v>511700</v>
      </c>
    </row>
    <row r="6" spans="1:13" x14ac:dyDescent="0.3">
      <c r="A6" s="8" t="s">
        <v>41</v>
      </c>
      <c r="B6" s="3">
        <v>5537168.6999999993</v>
      </c>
      <c r="C6" s="3">
        <v>676168.70000000019</v>
      </c>
      <c r="J6" s="8" t="s">
        <v>41</v>
      </c>
      <c r="K6" s="6">
        <v>326</v>
      </c>
      <c r="L6" s="3">
        <v>5537168.6999999993</v>
      </c>
      <c r="M6" s="3">
        <v>4931900</v>
      </c>
    </row>
    <row r="7" spans="1:13" x14ac:dyDescent="0.3">
      <c r="A7" s="8" t="s">
        <v>48</v>
      </c>
      <c r="B7" s="3">
        <v>77354.549999999988</v>
      </c>
      <c r="C7" s="3">
        <v>7976.550000000002</v>
      </c>
      <c r="J7" s="8" t="s">
        <v>48</v>
      </c>
      <c r="K7" s="6">
        <v>311</v>
      </c>
      <c r="L7" s="3">
        <v>77354.549999999988</v>
      </c>
      <c r="M7" s="3">
        <v>75828</v>
      </c>
    </row>
    <row r="8" spans="1:13" x14ac:dyDescent="0.3">
      <c r="A8" s="8" t="s">
        <v>58</v>
      </c>
      <c r="B8" s="3">
        <v>676277.78999999992</v>
      </c>
      <c r="C8" s="3">
        <v>38227.789999999994</v>
      </c>
      <c r="J8" s="8" t="s">
        <v>58</v>
      </c>
      <c r="K8" s="6">
        <v>348</v>
      </c>
      <c r="L8" s="3">
        <v>676277.78999999992</v>
      </c>
      <c r="M8" s="3">
        <v>697250</v>
      </c>
    </row>
    <row r="9" spans="1:13" x14ac:dyDescent="0.3">
      <c r="A9" s="8" t="s">
        <v>590</v>
      </c>
      <c r="B9" s="3">
        <v>7043139.1399999997</v>
      </c>
      <c r="C9" s="3">
        <v>813091.14000000036</v>
      </c>
      <c r="J9" s="8" t="s">
        <v>590</v>
      </c>
      <c r="K9" s="6">
        <v>1746</v>
      </c>
      <c r="L9" s="3">
        <v>7043139.1399999997</v>
      </c>
      <c r="M9" s="3">
        <v>6411508</v>
      </c>
    </row>
    <row r="11" spans="1:13" ht="12.6" customHeight="1" x14ac:dyDescent="0.3">
      <c r="E11" s="41" t="s">
        <v>597</v>
      </c>
      <c r="F11" s="42"/>
      <c r="G11" s="42"/>
      <c r="H11" s="43"/>
    </row>
    <row r="12" spans="1:13" ht="13.8" customHeight="1" x14ac:dyDescent="0.3">
      <c r="E12" s="44"/>
      <c r="F12" s="45"/>
      <c r="G12" s="45"/>
      <c r="H12" s="46"/>
    </row>
    <row r="13" spans="1:13" ht="14.4" customHeight="1" x14ac:dyDescent="0.3">
      <c r="E13" s="7" t="s">
        <v>596</v>
      </c>
      <c r="F13" s="2" t="s">
        <v>595</v>
      </c>
      <c r="G13" s="2" t="s">
        <v>591</v>
      </c>
      <c r="H13" s="2" t="s">
        <v>592</v>
      </c>
    </row>
    <row r="14" spans="1:13" ht="14.4" customHeight="1" x14ac:dyDescent="0.3">
      <c r="E14" s="8" t="s">
        <v>146</v>
      </c>
      <c r="F14" s="2">
        <v>53</v>
      </c>
      <c r="G14" s="3">
        <v>621952.30999999982</v>
      </c>
      <c r="H14" s="3">
        <v>38168.309999999983</v>
      </c>
    </row>
    <row r="15" spans="1:13" x14ac:dyDescent="0.3">
      <c r="E15" s="8" t="s">
        <v>19</v>
      </c>
      <c r="F15" s="2">
        <v>61</v>
      </c>
      <c r="G15" s="3">
        <v>1133236.05</v>
      </c>
      <c r="H15" s="3">
        <v>241400.05</v>
      </c>
    </row>
    <row r="16" spans="1:13" x14ac:dyDescent="0.3">
      <c r="E16" s="8" t="s">
        <v>38</v>
      </c>
      <c r="F16" s="2">
        <v>69</v>
      </c>
      <c r="G16" s="3">
        <v>634983.88000000012</v>
      </c>
      <c r="H16" s="3">
        <v>-79990.120000000024</v>
      </c>
    </row>
    <row r="17" spans="1:13" x14ac:dyDescent="0.3">
      <c r="E17" s="8" t="s">
        <v>61</v>
      </c>
      <c r="F17" s="2">
        <v>67</v>
      </c>
      <c r="G17" s="3">
        <v>1561295.4299999997</v>
      </c>
      <c r="H17" s="3">
        <v>172259.42999999996</v>
      </c>
    </row>
    <row r="18" spans="1:13" x14ac:dyDescent="0.3">
      <c r="E18" s="8" t="s">
        <v>51</v>
      </c>
      <c r="F18" s="2">
        <v>63</v>
      </c>
      <c r="G18" s="3">
        <v>975112.51</v>
      </c>
      <c r="H18" s="3">
        <v>96876.510000000009</v>
      </c>
    </row>
    <row r="19" spans="1:13" x14ac:dyDescent="0.3">
      <c r="E19" s="8" t="s">
        <v>77</v>
      </c>
      <c r="F19" s="2">
        <v>59</v>
      </c>
      <c r="G19" s="3">
        <v>612455.1399999999</v>
      </c>
      <c r="H19" s="3">
        <v>72635.140000000029</v>
      </c>
    </row>
    <row r="20" spans="1:13" x14ac:dyDescent="0.3">
      <c r="E20" s="8" t="s">
        <v>29</v>
      </c>
      <c r="F20" s="2">
        <v>65</v>
      </c>
      <c r="G20" s="3">
        <v>421100.85</v>
      </c>
      <c r="H20" s="3">
        <v>39838.849999999984</v>
      </c>
    </row>
    <row r="21" spans="1:13" x14ac:dyDescent="0.3">
      <c r="E21" s="8" t="s">
        <v>97</v>
      </c>
      <c r="F21" s="2">
        <v>63</v>
      </c>
      <c r="G21" s="3">
        <v>1083002.9699999995</v>
      </c>
      <c r="H21" s="3">
        <v>231902.96999999997</v>
      </c>
    </row>
    <row r="22" spans="1:13" x14ac:dyDescent="0.3">
      <c r="E22" s="8" t="s">
        <v>590</v>
      </c>
      <c r="F22" s="2">
        <v>500</v>
      </c>
      <c r="G22" s="3">
        <v>7043139.1400000053</v>
      </c>
      <c r="H22" s="3">
        <v>813091.13999999955</v>
      </c>
      <c r="J22" s="49" t="s">
        <v>602</v>
      </c>
      <c r="K22" s="49"/>
      <c r="L22" s="49"/>
      <c r="M22" s="49"/>
    </row>
    <row r="23" spans="1:13" x14ac:dyDescent="0.3">
      <c r="J23" s="49"/>
      <c r="K23" s="49"/>
      <c r="L23" s="49"/>
      <c r="M23" s="49"/>
    </row>
    <row r="24" spans="1:13" x14ac:dyDescent="0.3">
      <c r="J24" s="7" t="s">
        <v>602</v>
      </c>
      <c r="K24" s="2" t="s">
        <v>595</v>
      </c>
      <c r="L24" s="2" t="s">
        <v>591</v>
      </c>
      <c r="M24" s="2" t="s">
        <v>592</v>
      </c>
    </row>
    <row r="25" spans="1:13" x14ac:dyDescent="0.3">
      <c r="A25" s="47" t="s">
        <v>601</v>
      </c>
      <c r="B25" s="48"/>
      <c r="C25" s="48"/>
      <c r="D25" s="48"/>
      <c r="J25" s="8" t="s">
        <v>43</v>
      </c>
      <c r="K25" s="2">
        <v>109</v>
      </c>
      <c r="L25" s="3">
        <v>1476305.9400000002</v>
      </c>
      <c r="M25" s="3">
        <v>5619.9400000000169</v>
      </c>
    </row>
    <row r="26" spans="1:13" x14ac:dyDescent="0.3">
      <c r="A26" s="48"/>
      <c r="B26" s="48"/>
      <c r="C26" s="48"/>
      <c r="D26" s="48"/>
      <c r="J26" s="8" t="s">
        <v>35</v>
      </c>
      <c r="K26" s="2">
        <v>92</v>
      </c>
      <c r="L26" s="3">
        <v>990557.00999999989</v>
      </c>
      <c r="M26" s="3">
        <v>172543.00999999992</v>
      </c>
    </row>
    <row r="27" spans="1:13" x14ac:dyDescent="0.3">
      <c r="A27" s="7" t="s">
        <v>603</v>
      </c>
      <c r="B27" s="50" t="s">
        <v>595</v>
      </c>
      <c r="C27" s="2" t="s">
        <v>591</v>
      </c>
      <c r="D27" s="2" t="s">
        <v>592</v>
      </c>
      <c r="J27" s="8" t="s">
        <v>70</v>
      </c>
      <c r="K27" s="2">
        <v>103</v>
      </c>
      <c r="L27" s="3">
        <v>1357226.1699999992</v>
      </c>
      <c r="M27" s="3">
        <v>210594.17000000004</v>
      </c>
    </row>
    <row r="28" spans="1:13" x14ac:dyDescent="0.3">
      <c r="A28" s="8" t="s">
        <v>83</v>
      </c>
      <c r="B28" s="2">
        <v>31</v>
      </c>
      <c r="C28" s="3">
        <v>0</v>
      </c>
      <c r="D28" s="3">
        <v>0</v>
      </c>
      <c r="J28" s="8" t="s">
        <v>26</v>
      </c>
      <c r="K28" s="2">
        <v>103</v>
      </c>
      <c r="L28" s="3">
        <v>2247149.8300000005</v>
      </c>
      <c r="M28" s="3">
        <v>342097.83</v>
      </c>
    </row>
    <row r="29" spans="1:13" x14ac:dyDescent="0.3">
      <c r="A29" s="8" t="s">
        <v>36</v>
      </c>
      <c r="B29" s="2">
        <v>426</v>
      </c>
      <c r="C29" s="3">
        <v>7434291.7500000019</v>
      </c>
      <c r="D29" s="3">
        <v>1480573.7500000002</v>
      </c>
      <c r="J29" s="8" t="s">
        <v>67</v>
      </c>
      <c r="K29" s="2">
        <v>93</v>
      </c>
      <c r="L29" s="3">
        <v>971900.19000000006</v>
      </c>
      <c r="M29" s="3">
        <v>82236.19</v>
      </c>
    </row>
    <row r="30" spans="1:13" x14ac:dyDescent="0.3">
      <c r="A30" s="8" t="s">
        <v>27</v>
      </c>
      <c r="B30" s="2">
        <v>43</v>
      </c>
      <c r="C30" s="3">
        <v>-391152.61</v>
      </c>
      <c r="D30" s="3">
        <v>-667482.61</v>
      </c>
      <c r="J30" s="8" t="s">
        <v>590</v>
      </c>
      <c r="K30" s="2">
        <v>500</v>
      </c>
      <c r="L30" s="3">
        <v>7043139.1399999978</v>
      </c>
      <c r="M30" s="3">
        <v>813091.14000000013</v>
      </c>
    </row>
    <row r="31" spans="1:13" x14ac:dyDescent="0.3">
      <c r="A31" s="8" t="s">
        <v>590</v>
      </c>
      <c r="B31" s="2">
        <v>500</v>
      </c>
      <c r="C31" s="3">
        <v>7043139.1400000015</v>
      </c>
      <c r="D31" s="3">
        <v>813091.1400000006</v>
      </c>
    </row>
    <row r="33" spans="1:14" ht="15" thickBot="1" x14ac:dyDescent="0.35"/>
    <row r="34" spans="1:14" x14ac:dyDescent="0.3">
      <c r="A34" s="51" t="s">
        <v>604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3"/>
    </row>
    <row r="35" spans="1:14" x14ac:dyDescent="0.3">
      <c r="A35" s="54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6"/>
    </row>
    <row r="36" spans="1:14" x14ac:dyDescent="0.3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6"/>
    </row>
    <row r="37" spans="1:14" x14ac:dyDescent="0.3">
      <c r="A37" s="54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x14ac:dyDescent="0.3">
      <c r="A38" s="54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x14ac:dyDescent="0.3">
      <c r="A39" s="54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x14ac:dyDescent="0.3">
      <c r="A40" s="54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x14ac:dyDescent="0.3">
      <c r="A41" s="54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x14ac:dyDescent="0.3">
      <c r="A42" s="54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6"/>
    </row>
    <row r="43" spans="1:14" x14ac:dyDescent="0.3">
      <c r="A43" s="54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6"/>
    </row>
    <row r="44" spans="1:14" x14ac:dyDescent="0.3">
      <c r="A44" s="54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6"/>
    </row>
    <row r="45" spans="1:14" x14ac:dyDescent="0.3">
      <c r="A45" s="54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6"/>
    </row>
    <row r="46" spans="1:14" ht="15" thickBot="1" x14ac:dyDescent="0.35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9"/>
    </row>
  </sheetData>
  <mergeCells count="6">
    <mergeCell ref="A34:N46"/>
    <mergeCell ref="A1:C2"/>
    <mergeCell ref="J1:M2"/>
    <mergeCell ref="E11:H12"/>
    <mergeCell ref="A25:D26"/>
    <mergeCell ref="J22:M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3FB6C2-0BF5-4AE7-8190-2B30085600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retail_store_performance_dashbo</vt:lpstr>
      <vt:lpstr>Descriptive Summary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jothi lakshmi</dc:creator>
  <cp:lastModifiedBy>jothi lakshmi</cp:lastModifiedBy>
  <dcterms:created xsi:type="dcterms:W3CDTF">2026-09-26T10:57:40Z</dcterms:created>
  <dcterms:modified xsi:type="dcterms:W3CDTF">2026-09-30T15:26:58Z</dcterms:modified>
</cp:coreProperties>
</file>